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LANCE GENERAL" sheetId="1" state="visible" r:id="rId2"/>
    <sheet name="MOVIMIENTOS GENERALES" sheetId="2" state="visible" r:id="rId3"/>
    <sheet name="PAGO DE MOTO" sheetId="3" state="visible" r:id="rId4"/>
    <sheet name="PRESTAMOS PARA COMPRA DE AUTO" sheetId="4" state="visible" r:id="rId5"/>
  </sheets>
  <definedNames>
    <definedName function="false" hidden="true" localSheetId="0" name="_xlnm._FilterDatabase" vbProcedure="false">'BALANCE GENERAL'!$A$1:$G$60</definedName>
    <definedName function="false" hidden="true" localSheetId="1" name="_xlnm._FilterDatabase" vbProcedure="false">'MOVIMIENTOS GENERALES'!$A$1:$K$63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<sst xmlns="http://schemas.openxmlformats.org/spreadsheetml/2006/main" count="383" uniqueCount="139">
  <si>
    <t xml:space="preserve">Fecha</t>
  </si>
  <si>
    <t xml:space="preserve">Documento</t>
  </si>
  <si>
    <t xml:space="preserve">Descripción</t>
  </si>
  <si>
    <t xml:space="preserve">Monto</t>
  </si>
  <si>
    <t xml:space="preserve">Débitos</t>
  </si>
  <si>
    <t xml:space="preserve">Créditos</t>
  </si>
  <si>
    <t xml:space="preserve">Saldo</t>
  </si>
  <si>
    <t xml:space="preserve">INICIAL</t>
  </si>
  <si>
    <t xml:space="preserve">COMPRA POR POS - MI PAGO CLARO (VISANET) GUATEMALA GT</t>
  </si>
  <si>
    <t xml:space="preserve">RETIRO EN ATM</t>
  </si>
  <si>
    <t xml:space="preserve">COMPRA POR POS - DOMINOS DISTRITO MIRAFLORGUATEMALA GT</t>
  </si>
  <si>
    <t xml:space="preserve">N.C PAGO PLANILLA</t>
  </si>
  <si>
    <t xml:space="preserve">COMPRA POR POS - MAXI DESPENSA ROOSEVELT GUATEMALA GT</t>
  </si>
  <si>
    <t xml:space="preserve">COMPRA POR POS - NOVEX ROOSEVELT GUATEMALA GT</t>
  </si>
  <si>
    <t xml:space="preserve">COMPRA POR POS - UDEMY ONLINE COURSES SAN FRANCISCOUS</t>
  </si>
  <si>
    <t xml:space="preserve">COMPRA POR POS - TEXACO MILENIO GUATEMALA GT</t>
  </si>
  <si>
    <t xml:space="preserve">COMPRA POR POS - DOLLARCITY SAN CRISTOBAL GUATEMALA GT</t>
  </si>
  <si>
    <t xml:space="preserve">COMPRA POR POS - DESPENSA FAMILIAR (LO DE GUATEMALA GT</t>
  </si>
  <si>
    <t xml:space="preserve">OPERACIONES ACH</t>
  </si>
  <si>
    <t xml:space="preserve">COMPRA POR POS - MI SUPER FRESH SAN CRISTOGUATEMALA GT</t>
  </si>
  <si>
    <t xml:space="preserve">COMPRA POR POS - EST. DE SERV. (LAS CHARCAGUATEMALA GT</t>
  </si>
  <si>
    <t xml:space="preserve">N.D PAGO EEGSA</t>
  </si>
  <si>
    <t xml:space="preserve">COMPRA POR POS - RADIO SHACK ROOSEVELT GUATEMALA GT</t>
  </si>
  <si>
    <t xml:space="preserve">COMPRA POR POS - PLAYSTATION NETWORK 877-971-7669 US</t>
  </si>
  <si>
    <t xml:space="preserve">N.D. PAGO TELGUA BANCA LINEA</t>
  </si>
  <si>
    <t xml:space="preserve">COMPRA POR POS - NOVEX SAN CRISTOBAL GUATEMALA GT</t>
  </si>
  <si>
    <t xml:space="preserve">COMPRA POR POS - GASOLINERA LO DE COY GUATEMALA GT</t>
  </si>
  <si>
    <t xml:space="preserve">COMPRA POR POS - 65 MEGAPACA SAN CRISTOBALGUATEMALA GT</t>
  </si>
  <si>
    <t xml:space="preserve">COMPRA POR POS - POLLO CAMPERO NO. 181 GUATEMALA GT</t>
  </si>
  <si>
    <t xml:space="preserve">COMPRA POR POS - FARMACIA GALENO 186 CHIQUIMULA GT</t>
  </si>
  <si>
    <t xml:space="preserve">COMPRA POR POS - DISTELSA GUATEMALA GT</t>
  </si>
  <si>
    <t xml:space="preserve">COMPRA POR POS - FARMACIA GALENO 253 GUATEMALA GT</t>
  </si>
  <si>
    <t xml:space="preserve">COMPRA POR POS - MAXI DESPENSA CHIQUIMULILCUILAPA GT</t>
  </si>
  <si>
    <t xml:space="preserve">AHORRO MOTO</t>
  </si>
  <si>
    <t xml:space="preserve">FECHA</t>
  </si>
  <si>
    <t xml:space="preserve">MES</t>
  </si>
  <si>
    <t xml:space="preserve">ACCION</t>
  </si>
  <si>
    <t xml:space="preserve">JUSTIFICACION</t>
  </si>
  <si>
    <t xml:space="preserve">MONTO</t>
  </si>
  <si>
    <t xml:space="preserve">ACUMULADO</t>
  </si>
  <si>
    <t xml:space="preserve">NOTAS ADICIONALES</t>
  </si>
  <si>
    <t xml:space="preserve">INGRESO</t>
  </si>
  <si>
    <t xml:space="preserve">SALDO INICIAL ANTERIORES MOVIMIENTOS</t>
  </si>
  <si>
    <t xml:space="preserve">PAGO DE PLANILLA</t>
  </si>
  <si>
    <t xml:space="preserve">EGRESO</t>
  </si>
  <si>
    <t xml:space="preserve">RETIRO EN CAJERO PARA GASTO DE CAJA + COMPRA POSIBLE DE GAS + COMPRA DE PAÑALES +  COMPRA DE LECHE (DEFINIR GASTO REAL)</t>
  </si>
  <si>
    <t xml:space="preserve">Se gastó todo lo previsto, únicamente quedarón Q10.00, se hirá al vaso de emergencias rápidas.</t>
  </si>
  <si>
    <t xml:space="preserve">COMPRA DE CHOCOLATES PARA FAMILIA</t>
  </si>
  <si>
    <t xml:space="preserve">TRANSFERENCIA DE DIEZMO PROGRAMADA</t>
  </si>
  <si>
    <t xml:space="preserve">Se compro azucar, arroz, aceite e incaparina para donación de alimentos. De manera personal de compró jabones para luna y mio, cepillos, pasta de gordis, toallas humedas.</t>
  </si>
  <si>
    <t xml:space="preserve">Retiro en cajero para prestado a amor</t>
  </si>
  <si>
    <t xml:space="preserve">Compra de 2 cursos UDEMY</t>
  </si>
  <si>
    <t xml:space="preserve">PAGO DE INTERNET</t>
  </si>
  <si>
    <t xml:space="preserve">COMPRA DE POLLO CAMPERO PARA CENAR</t>
  </si>
  <si>
    <t xml:space="preserve">PAGO DE ENERGIA ELECTRICA DE OCTUBRE</t>
  </si>
  <si>
    <t xml:space="preserve">PAGO DE ALQUILER MES DE DICIEMBRE</t>
  </si>
  <si>
    <t xml:space="preserve">RETIRO DE CAJERO AUTOMATICO PARA PROPORCIONAR PAGO DE BASURA + GASTO DE COMIDA + FONDO PARA CUALQUIER EMERGENCIA.  SE PAGARON Q50.00 DE BASURA + Q600.00 PARA GASTO. QUEDARON Q.350.00 SE DETALLARA GASTO SEGÚN NECESIDAD</t>
  </si>
  <si>
    <t xml:space="preserve">Q 350.00 INICIAL.
-Q 60.00 SE COMPRO GASOLINA
-Q 25.00 COMPRA DE CHICHARRONES
-Q 25.00 PAGO DE CORTE DE CABELLO
-Q 240.00 COMPRA DE BIBLIA (Q 360.00 REALES, SE PRESTO Q 120.00 A AMOR)
 Q      0.00 FINAL</t>
  </si>
  <si>
    <t xml:space="preserve">COMPRA DE PAÑALES PAGO PARCIAL</t>
  </si>
  <si>
    <t xml:space="preserve">RETIRO DE CAJERO PARA PAGO DE BIBLIA DIARIO VIVIR, Y PAGO DE PRESTAMO A AMOR.</t>
  </si>
  <si>
    <t xml:space="preserve"> Q 700.00 INICIAL 
-Q 120.00 PAGO PRESTAMO A AMOR
-Q   50.00 PAGO DE PAÑALES
-Q   20.00 COMPRA LICRA POCHUS
-Q 445.00 COMPRA DE BIBLIA DIARIO VIVIR
-Q      5.00 OFREDA
-Q   40.00 COMPRA DE GOLOCINAS Y OTROS
-Q   20.00 PAGO DE MITAD POR COMPRA DE ALITAS A AMOR
 Q    0.00 FINAL </t>
  </si>
  <si>
    <t xml:space="preserve">RETIRO DE CAJERO AUTOMATICO PARA GASTO DE CASA, VISITA A MEDICO, PAGO DE DEUDA PENDIENTE</t>
  </si>
  <si>
    <t xml:space="preserve"> Q 1000.00 INICIAL 
-Q  700.00 AMOR GASTO
-Q  250.00 PAGO CONSULTA MEDICO
-Q   24.00 PAGO PENDIENTE A AMOR 
Q    26.00 FINAL </t>
  </si>
  <si>
    <t xml:space="preserve">COMPRA DE CONCENTRADO PARA LUNA</t>
  </si>
  <si>
    <t xml:space="preserve">COMPRA DE MEDICAMENTO PARA BEBE</t>
  </si>
  <si>
    <t xml:space="preserve">PAGO PARCIAL AGUINALDO</t>
  </si>
  <si>
    <t xml:space="preserve">PRESTAMO A AMOR PARA COMPRA DE CELULAR</t>
  </si>
  <si>
    <r>
      <rPr>
        <sz val="11"/>
        <color rgb="FF000000"/>
        <rFont val="Calibri"/>
        <family val="2"/>
        <charset val="1"/>
      </rPr>
      <t xml:space="preserve">AMOR PAGO EL PRESTAMO, SE DIO GASTO DE ESE DINERO, SE COMPRO AMBURGUESA, SE PAGO OTROS
SALDO QUE QUEDA EN EFECTIVO </t>
    </r>
    <r>
      <rPr>
        <b val="true"/>
        <sz val="11"/>
        <color rgb="FF000000"/>
        <rFont val="Calibri"/>
        <family val="2"/>
        <charset val="1"/>
      </rPr>
      <t xml:space="preserve">Q545.00</t>
    </r>
  </si>
  <si>
    <t xml:space="preserve">COMPRA EN DÓLAR CITY, BURBUJAS Y OTRAS COSAS MAS PARA AMOR</t>
  </si>
  <si>
    <t xml:space="preserve">COMPRA DE MEDICAMENTO PARA NAUSEAS</t>
  </si>
  <si>
    <t xml:space="preserve">COMPRA EN CHIQUIMULILLA, ALMOHADAS, JABON, ACEITE, ETC</t>
  </si>
  <si>
    <t xml:space="preserve">RETIRO DE CAJERO EN CHIQUIMULILLA, SE ENTREGARON Q800.00 A MAMA, Y EL RESTO SE UTILIZÓ PARA ESTANCIA Y TRANSPORTE</t>
  </si>
  <si>
    <t xml:space="preserve">PAGO DE ALQUILER MES DE ENERO</t>
  </si>
  <si>
    <t xml:space="preserve">PAGO DE ENERGIA ELECTRICA DE NOVIEMBRE</t>
  </si>
  <si>
    <t xml:space="preserve">TRANSFERENCIA PARA CUENTA DE AHORRO</t>
  </si>
  <si>
    <t xml:space="preserve">despensa</t>
  </si>
  <si>
    <t xml:space="preserve">retiro</t>
  </si>
  <si>
    <t xml:space="preserve">COMPRA EN DÓLAR CITY, PENDIENTE ARREGLAR CUENTAS AMOR</t>
  </si>
  <si>
    <t xml:space="preserve">COMPRA DE PRODUCTOS PARA QUINCEN EN MISUPER FRESH</t>
  </si>
  <si>
    <t xml:space="preserve">TRANSFERENCIA A CUENTA DE AHORRO</t>
  </si>
  <si>
    <t xml:space="preserve">COMPRA DE PASTILLAS PARA AMOR Y CHIQUITIN</t>
  </si>
  <si>
    <t xml:space="preserve">PAGO DE SERVICIO DE MOTOCICLETA Y COMPRA DE BOMBILLA CAJERO AUTOMATICO</t>
  </si>
  <si>
    <t xml:space="preserve">LO REAL DE MOTO SON Q. 590.00
PARA LOS 600+100, LO RESTANTE SE HA UTILIZADO PARA COMPRAR QUESO, GASOLINA Y TORTILLAS.</t>
  </si>
  <si>
    <t xml:space="preserve">PAGO DE TRANSPORTE UBER PARA IR A RECOGER MOTO</t>
  </si>
  <si>
    <t xml:space="preserve">RETIRO DE CAJERO AUTOMATICO PARA CANCELAR DIFERENCIA DE REPARACIÓN DE MOTO POR COMPRA DE CADENA NUEVA</t>
  </si>
  <si>
    <t xml:space="preserve">RETIRO DE CAJERO PARA VIAJE A GUAZACAPAN, PAGO DE PEAJE Y OTROS GASTOS MAS</t>
  </si>
  <si>
    <t xml:space="preserve">COMPRA DE GASOLINA PARA VIAJE</t>
  </si>
  <si>
    <t xml:space="preserve">PAGO DE ALQUILER MES DE FEBRERO</t>
  </si>
  <si>
    <t xml:space="preserve">PAGO DE INTERNET DICIEMBRE</t>
  </si>
  <si>
    <t xml:space="preserve">PAGO DE ENERGIA ELECTRICA DE DICIEMBRE</t>
  </si>
  <si>
    <t xml:space="preserve">RETIRO DE CAJERO PARA GASTO Y PAGO DE BASURA</t>
  </si>
  <si>
    <r>
      <rPr>
        <u val="single"/>
        <sz val="11"/>
        <color rgb="FF000000"/>
        <rFont val="Calibri"/>
        <family val="2"/>
        <charset val="1"/>
      </rPr>
      <t xml:space="preserve">Q 800.00 INICIAL
</t>
    </r>
    <r>
      <rPr>
        <sz val="11"/>
        <color rgb="FF000000"/>
        <rFont val="Calibri"/>
        <family val="2"/>
        <charset val="1"/>
      </rPr>
      <t xml:space="preserve">Q  15.00 COMPRA DE TORTILLA                     03/02
Q   5.00 COMPRA DE LIBRO DE CEBOLLA    03/02
Q  50.00 PAGO DE BASURA                              04/02</t>
    </r>
  </si>
  <si>
    <t xml:space="preserve">COMPRA DE COMIDA ALISTAS CAMPERO</t>
  </si>
  <si>
    <t xml:space="preserve">PAGO DE RESTO DE AGUINALDO</t>
  </si>
  <si>
    <t xml:space="preserve">TRASLADO PARA AHORRO</t>
  </si>
  <si>
    <t xml:space="preserve">RETIRO DE CAJERO AUTOMATICO PARA GASTO DE CASA</t>
  </si>
  <si>
    <t xml:space="preserve">RETIRO DE CAJERO AUTOMATICO PARA DAR DIFERENCIA DE DEUDA A AMOR PORQUE SE COMPRO GAS Y SE COMPRO PANIALES</t>
  </si>
  <si>
    <t xml:space="preserve">COMPRA DE GASOLINA PARA GASTO, SE FULIO TANQUE</t>
  </si>
  <si>
    <t xml:space="preserve">PAGO DE INTERNET ENERO</t>
  </si>
  <si>
    <t xml:space="preserve">PAGO DE ENERGIA ELECTRICA ENERO</t>
  </si>
  <si>
    <t xml:space="preserve">PAGO DE ALQUILER MES DE MARZO</t>
  </si>
  <si>
    <t xml:space="preserve">TRANSFERENCIA PARA AYUDA A MADRE</t>
  </si>
  <si>
    <t xml:space="preserve">TRANSFERENCIA PAGO A SUEGRA</t>
  </si>
  <si>
    <t xml:space="preserve">PARA AMOR Y PAGO DE BASURA</t>
  </si>
  <si>
    <t xml:space="preserve">PAGO DE ULTRASONIDO BEBE</t>
  </si>
  <si>
    <t xml:space="preserve">RETIRO DE CAJERO PAGO DIFERENCIAL AMOR Y RESTO PARA GASTOS COMPRA GOLOCINAS</t>
  </si>
  <si>
    <t xml:space="preserve">TRANSFERENCIA PARA AHORRO</t>
  </si>
  <si>
    <t xml:space="preserve">RETIRO DE CAJERO AUTOMATICO PARA 700 AMOR DIFERENCIA PENDIENTE DETERMINAL</t>
  </si>
  <si>
    <t xml:space="preserve">COMPRA DE DOLLAR CITY PARA REGALO TIA CUMPLEAÑOS</t>
  </si>
  <si>
    <t xml:space="preserve">ACREDITACION POR PRESTAMO SOLICITADO</t>
  </si>
  <si>
    <t xml:space="preserve">COMPRA DE JABON PARA IGLESIA</t>
  </si>
  <si>
    <t xml:space="preserve">RETIRO DE CAJERO, PAGO DE 100 PENDIENTES AMOR, 50 COMPRA DE FRUTAS PARA AYUDA</t>
  </si>
  <si>
    <t xml:space="preserve">PAGO DE INTERNET FEBRERO</t>
  </si>
  <si>
    <t xml:space="preserve">salario</t>
  </si>
  <si>
    <t xml:space="preserve">diezmo</t>
  </si>
  <si>
    <t xml:space="preserve">alquiler</t>
  </si>
  <si>
    <t xml:space="preserve">PAGO DE ALQUILER</t>
  </si>
  <si>
    <t xml:space="preserve">internet</t>
  </si>
  <si>
    <t xml:space="preserve">PAGO DE ENERGIA ELECTRICA FEBRERO</t>
  </si>
  <si>
    <t xml:space="preserve">luz</t>
  </si>
  <si>
    <t xml:space="preserve">basura</t>
  </si>
  <si>
    <t xml:space="preserve">amor</t>
  </si>
  <si>
    <t xml:space="preserve">TRANSFERENCIA PARA NUEVA CUENTA DE AHORRO</t>
  </si>
  <si>
    <t xml:space="preserve">gasolina</t>
  </si>
  <si>
    <t xml:space="preserve">pasaje iglesia</t>
  </si>
  <si>
    <t xml:space="preserve">RETIRO DE CAJERO AUTOMATICO PARA DARLE A AMOR Y PARA COMPRA DE COMIDA</t>
  </si>
  <si>
    <t xml:space="preserve">gas </t>
  </si>
  <si>
    <t xml:space="preserve">TRASLADO DE CUENTA DE AHORRO PARA SUBCIDIO DE CUENTA</t>
  </si>
  <si>
    <t xml:space="preserve">total</t>
  </si>
  <si>
    <t xml:space="preserve">COMPRA DE COMIDA CHINA</t>
  </si>
  <si>
    <t xml:space="preserve">DEUDA INICIAL</t>
  </si>
  <si>
    <t xml:space="preserve">TRASLADO PARA CUENTA MONETARIA PARA SUBCIDIO</t>
  </si>
  <si>
    <t xml:space="preserve">TRASLADO PARA CUENTA DE AHORRO EN BI</t>
  </si>
  <si>
    <t xml:space="preserve">INGRESO POR VENTA DE PS4</t>
  </si>
  <si>
    <t xml:space="preserve">INGRESO POR TRASLADO DESDE PROMERICA</t>
  </si>
  <si>
    <t xml:space="preserve">INGRESO TRASLADO DE FONDOS DESDE PROMERICA</t>
  </si>
  <si>
    <t xml:space="preserve">DEBITO POR PAGO DE SEGURO</t>
  </si>
  <si>
    <t xml:space="preserve">-</t>
  </si>
  <si>
    <t xml:space="preserve">SALIDA TRASLADO DE FONDOS PARA PROMERICA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</si>
</sst>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\Q* #,##0.00_-;&quot;-Q&quot;* #,##0.00_-;_-\Q* \-??_-;_-@_-"/>
    <numFmt numFmtId="166" formatCode="dd/mm/yyyy"/>
    <numFmt numFmtId="167" formatCode="_-[$$-409]* #,##0.00_ ;_-[$$-409]* \-#,##0.00\ ;_-[$$-409]* \-??_ ;_-@_ 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i val="true"/>
      <sz val="14"/>
      <color rgb="FF3F3F76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7CE"/>
        <bgColor rgb="FFFFCC99"/>
      </patternFill>
    </fill>
    <fill>
      <patternFill patternType="solid">
        <fgColor rgb="FFC6EFCE"/>
        <bgColor rgb="FFCCFFFF"/>
      </patternFill>
    </fill>
    <fill>
      <patternFill patternType="solid">
        <fgColor rgb="FFFFCC99"/>
        <bgColor rgb="FFFFC7CE"/>
      </patternFill>
    </fill>
    <fill>
      <patternFill patternType="solid">
        <fgColor rgb="FF00B050"/>
        <bgColor rgb="FF00808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1" applyFont="true" applyBorder="true" applyAlignment="true" applyProtection="false">
      <alignment horizontal="general" vertical="bottom" textRotation="0" wrapText="false" indent="0" shrinkToFit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4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5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5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6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3" borderId="7" xfId="21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8" xfId="21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8" xfId="21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3" borderId="9" xfId="21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8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9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4" borderId="7" xfId="22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8" xfId="22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8" xfId="22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9" xfId="22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1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2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4" xfId="22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5" xfId="22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5" xfId="22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6" xfId="22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7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8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8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9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4" borderId="10" xfId="22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1" xfId="22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11" xfId="22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12" xfId="22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1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1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1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12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3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4" borderId="8" xfId="22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8" xfId="22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4" borderId="8" xfId="22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6" fontId="6" fillId="3" borderId="8" xfId="21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3" borderId="8" xfId="21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3" borderId="8" xfId="21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8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8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2" borderId="8" xfId="2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8" xfId="2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2" borderId="8" xfId="20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6" fontId="10" fillId="6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6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22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4" borderId="0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0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Bad" xfId="21"/>
    <cellStyle name="Excel Built-in Good" xfId="22"/>
    <cellStyle name="Excel Built-in Input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89" activePane="bottomLeft" state="frozen"/>
      <selection pane="topLeft" activeCell="A1" activeCellId="0" sqref="A1"/>
      <selection pane="bottomLeft" activeCell="C99" activeCellId="0" sqref="C9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6.28"/>
    <col collapsed="false" customWidth="true" hidden="false" outlineLevel="0" max="3" min="3" style="0" width="60.42"/>
    <col collapsed="false" customWidth="true" hidden="false" outlineLevel="0" max="4" min="4" style="1" width="13.57"/>
    <col collapsed="false" customWidth="true" hidden="false" outlineLevel="0" max="5" min="5" style="1" width="14.28"/>
    <col collapsed="false" customWidth="true" hidden="false" outlineLevel="0" max="6" min="6" style="1" width="14.85"/>
    <col collapsed="false" customWidth="true" hidden="false" outlineLevel="0" max="7" min="7" style="1" width="12.57"/>
    <col collapsed="false" customWidth="true" hidden="false" outlineLevel="0" max="9" min="8" style="0" width="11.43"/>
    <col collapsed="false" customWidth="true" hidden="false" outlineLevel="0" max="10" min="10" style="0" width="15.71"/>
    <col collapsed="false" customWidth="true" hidden="false" outlineLevel="0" max="256" min="11" style="0" width="11.4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4" t="s">
        <v>7</v>
      </c>
      <c r="J1" s="5" t="n">
        <f aca="false">+G2+E2</f>
        <v>1828.73</v>
      </c>
    </row>
    <row r="2" customFormat="false" ht="15" hidden="false" customHeight="false" outlineLevel="0" collapsed="false">
      <c r="A2" s="6" t="n">
        <v>44013</v>
      </c>
      <c r="B2" s="7" t="n">
        <v>873931</v>
      </c>
      <c r="C2" s="7" t="s">
        <v>8</v>
      </c>
      <c r="D2" s="8" t="n">
        <v>-244</v>
      </c>
      <c r="E2" s="8" t="n">
        <v>244</v>
      </c>
      <c r="F2" s="8" t="n">
        <v>0</v>
      </c>
      <c r="G2" s="9" t="n">
        <v>1584.73</v>
      </c>
      <c r="J2" s="5" t="n">
        <f aca="false">+$J$1+D2</f>
        <v>1584.73</v>
      </c>
    </row>
    <row r="3" customFormat="false" ht="15" hidden="false" customHeight="false" outlineLevel="0" collapsed="false">
      <c r="A3" s="10" t="n">
        <v>44013</v>
      </c>
      <c r="B3" s="11" t="n">
        <v>879191</v>
      </c>
      <c r="C3" s="11" t="s">
        <v>9</v>
      </c>
      <c r="D3" s="12" t="n">
        <v>-1500</v>
      </c>
      <c r="E3" s="12" t="n">
        <v>1500</v>
      </c>
      <c r="F3" s="12" t="n">
        <v>0</v>
      </c>
      <c r="G3" s="13" t="n">
        <v>84.73</v>
      </c>
      <c r="J3" s="5" t="n">
        <f aca="false">+J2+D3</f>
        <v>84.73</v>
      </c>
    </row>
    <row r="4" customFormat="false" ht="15" hidden="false" customHeight="false" outlineLevel="0" collapsed="false">
      <c r="A4" s="14" t="n">
        <v>44019</v>
      </c>
      <c r="B4" s="15" t="n">
        <v>929827</v>
      </c>
      <c r="C4" s="15" t="s">
        <v>10</v>
      </c>
      <c r="D4" s="16" t="n">
        <v>-80</v>
      </c>
      <c r="E4" s="16" t="n">
        <v>80</v>
      </c>
      <c r="F4" s="16" t="n">
        <v>0</v>
      </c>
      <c r="G4" s="17" t="n">
        <v>4.73</v>
      </c>
      <c r="J4" s="5" t="n">
        <f aca="false">+J3+D4</f>
        <v>4.73000000000002</v>
      </c>
    </row>
    <row r="5" customFormat="false" ht="15" hidden="false" customHeight="false" outlineLevel="0" collapsed="false">
      <c r="A5" s="18" t="n">
        <v>44027</v>
      </c>
      <c r="B5" s="19" t="n">
        <v>867850</v>
      </c>
      <c r="C5" s="19" t="s">
        <v>11</v>
      </c>
      <c r="D5" s="20" t="n">
        <v>1970.34</v>
      </c>
      <c r="E5" s="20" t="n">
        <v>0</v>
      </c>
      <c r="F5" s="20" t="n">
        <v>1970.34</v>
      </c>
      <c r="G5" s="21" t="n">
        <v>1975.07</v>
      </c>
      <c r="J5" s="5" t="n">
        <f aca="false">+J4+D5</f>
        <v>1975.07</v>
      </c>
    </row>
    <row r="6" customFormat="false" ht="15" hidden="false" customHeight="false" outlineLevel="0" collapsed="false">
      <c r="A6" s="18" t="n">
        <v>44029</v>
      </c>
      <c r="B6" s="19" t="n">
        <v>870175</v>
      </c>
      <c r="C6" s="19" t="s">
        <v>11</v>
      </c>
      <c r="D6" s="20" t="n">
        <v>300</v>
      </c>
      <c r="E6" s="20" t="n">
        <v>0</v>
      </c>
      <c r="F6" s="20" t="n">
        <v>300</v>
      </c>
      <c r="G6" s="21" t="n">
        <v>2275.07</v>
      </c>
      <c r="J6" s="5" t="n">
        <f aca="false">+J5+D6</f>
        <v>2275.07</v>
      </c>
    </row>
    <row r="7" customFormat="false" ht="15" hidden="false" customHeight="false" outlineLevel="0" collapsed="false">
      <c r="A7" s="10" t="n">
        <v>44029</v>
      </c>
      <c r="B7" s="11" t="n">
        <v>17051</v>
      </c>
      <c r="C7" s="11" t="s">
        <v>9</v>
      </c>
      <c r="D7" s="12" t="n">
        <v>-2000</v>
      </c>
      <c r="E7" s="12" t="n">
        <v>2000</v>
      </c>
      <c r="F7" s="12" t="n">
        <v>0</v>
      </c>
      <c r="G7" s="13" t="n">
        <v>275.07</v>
      </c>
      <c r="J7" s="5" t="n">
        <f aca="false">+J6+D7</f>
        <v>275.07</v>
      </c>
    </row>
    <row r="8" customFormat="false" ht="15" hidden="false" customHeight="false" outlineLevel="0" collapsed="false">
      <c r="A8" s="14" t="n">
        <v>44029</v>
      </c>
      <c r="B8" s="15" t="n">
        <v>17220</v>
      </c>
      <c r="C8" s="15" t="s">
        <v>12</v>
      </c>
      <c r="D8" s="16" t="n">
        <v>-138</v>
      </c>
      <c r="E8" s="16" t="n">
        <v>138</v>
      </c>
      <c r="F8" s="16" t="n">
        <v>0</v>
      </c>
      <c r="G8" s="17" t="n">
        <v>137.07</v>
      </c>
      <c r="J8" s="5" t="n">
        <f aca="false">+J7+D8</f>
        <v>137.07</v>
      </c>
    </row>
    <row r="9" customFormat="false" ht="15" hidden="false" customHeight="false" outlineLevel="0" collapsed="false">
      <c r="A9" s="14" t="n">
        <v>44039</v>
      </c>
      <c r="B9" s="15" t="n">
        <v>97135</v>
      </c>
      <c r="C9" s="15" t="s">
        <v>13</v>
      </c>
      <c r="D9" s="16" t="n">
        <v>-33.5</v>
      </c>
      <c r="E9" s="16" t="n">
        <v>33.5</v>
      </c>
      <c r="F9" s="16" t="n">
        <v>0</v>
      </c>
      <c r="G9" s="17" t="n">
        <v>103.57</v>
      </c>
      <c r="J9" s="5" t="n">
        <f aca="false">+J8+D9</f>
        <v>103.57</v>
      </c>
    </row>
    <row r="10" customFormat="false" ht="19.5" hidden="false" customHeight="false" outlineLevel="0" collapsed="false">
      <c r="A10" s="22" t="n">
        <v>44041</v>
      </c>
      <c r="B10" s="23" t="n">
        <v>115552</v>
      </c>
      <c r="C10" s="23" t="s">
        <v>14</v>
      </c>
      <c r="D10" s="24" t="n">
        <v>-101.97</v>
      </c>
      <c r="E10" s="24" t="n">
        <v>101.97</v>
      </c>
      <c r="F10" s="24" t="n">
        <v>0</v>
      </c>
      <c r="G10" s="25" t="n">
        <v>1.6</v>
      </c>
      <c r="J10" s="26" t="n">
        <f aca="false">+J9+D10</f>
        <v>1.59999999999971</v>
      </c>
    </row>
    <row r="11" customFormat="false" ht="15" hidden="false" customHeight="false" outlineLevel="0" collapsed="false">
      <c r="A11" s="27" t="n">
        <v>44044</v>
      </c>
      <c r="B11" s="28" t="n">
        <v>881348</v>
      </c>
      <c r="C11" s="28" t="s">
        <v>11</v>
      </c>
      <c r="D11" s="29" t="n">
        <v>600</v>
      </c>
      <c r="E11" s="29" t="n">
        <v>0</v>
      </c>
      <c r="F11" s="29" t="n">
        <v>600</v>
      </c>
      <c r="G11" s="30" t="n">
        <v>601.6</v>
      </c>
      <c r="J11" s="5" t="n">
        <f aca="false">+J10+D11</f>
        <v>601.6</v>
      </c>
    </row>
    <row r="12" customFormat="false" ht="15" hidden="false" customHeight="false" outlineLevel="0" collapsed="false">
      <c r="A12" s="10" t="n">
        <v>44045</v>
      </c>
      <c r="B12" s="11" t="n">
        <v>162139</v>
      </c>
      <c r="C12" s="11" t="s">
        <v>9</v>
      </c>
      <c r="D12" s="12" t="n">
        <v>-600</v>
      </c>
      <c r="E12" s="12" t="n">
        <v>600</v>
      </c>
      <c r="F12" s="12" t="n">
        <v>0</v>
      </c>
      <c r="G12" s="13" t="n">
        <v>1.6</v>
      </c>
      <c r="J12" s="5" t="n">
        <f aca="false">+J11+D12</f>
        <v>1.59999999999968</v>
      </c>
    </row>
    <row r="13" customFormat="false" ht="15" hidden="false" customHeight="false" outlineLevel="0" collapsed="false">
      <c r="A13" s="18" t="n">
        <v>44046</v>
      </c>
      <c r="B13" s="19" t="n">
        <v>882479</v>
      </c>
      <c r="C13" s="19" t="s">
        <v>11</v>
      </c>
      <c r="D13" s="20" t="n">
        <v>2454.25</v>
      </c>
      <c r="E13" s="20" t="n">
        <v>0</v>
      </c>
      <c r="F13" s="20" t="n">
        <v>2454.25</v>
      </c>
      <c r="G13" s="21" t="n">
        <v>2455.85</v>
      </c>
      <c r="J13" s="5" t="n">
        <f aca="false">+J12+D13</f>
        <v>2455.85</v>
      </c>
    </row>
    <row r="14" customFormat="false" ht="15" hidden="false" customHeight="false" outlineLevel="0" collapsed="false">
      <c r="A14" s="10" t="n">
        <v>44046</v>
      </c>
      <c r="B14" s="11" t="n">
        <v>177289</v>
      </c>
      <c r="C14" s="11" t="s">
        <v>9</v>
      </c>
      <c r="D14" s="12" t="n">
        <v>-2000</v>
      </c>
      <c r="E14" s="12" t="n">
        <v>2000</v>
      </c>
      <c r="F14" s="12" t="n">
        <v>0</v>
      </c>
      <c r="G14" s="13" t="n">
        <v>455.85</v>
      </c>
      <c r="J14" s="5" t="n">
        <f aca="false">+J13+D14</f>
        <v>455.849999999999</v>
      </c>
    </row>
    <row r="15" customFormat="false" ht="15" hidden="false" customHeight="false" outlineLevel="0" collapsed="false">
      <c r="A15" s="14" t="n">
        <v>44046</v>
      </c>
      <c r="B15" s="15" t="n">
        <v>177318</v>
      </c>
      <c r="C15" s="15" t="s">
        <v>15</v>
      </c>
      <c r="D15" s="16" t="n">
        <v>-60</v>
      </c>
      <c r="E15" s="16" t="n">
        <v>60</v>
      </c>
      <c r="F15" s="16" t="n">
        <v>0</v>
      </c>
      <c r="G15" s="17" t="n">
        <v>395.85</v>
      </c>
      <c r="J15" s="5" t="n">
        <f aca="false">+J14+D15</f>
        <v>395.849999999999</v>
      </c>
    </row>
    <row r="16" customFormat="false" ht="15" hidden="false" customHeight="false" outlineLevel="0" collapsed="false">
      <c r="A16" s="18" t="n">
        <v>44049</v>
      </c>
      <c r="B16" s="19" t="n">
        <v>884472</v>
      </c>
      <c r="C16" s="19" t="s">
        <v>11</v>
      </c>
      <c r="D16" s="20" t="n">
        <v>3645.14</v>
      </c>
      <c r="E16" s="20" t="n">
        <v>0</v>
      </c>
      <c r="F16" s="20" t="n">
        <v>3645.14</v>
      </c>
      <c r="G16" s="21" t="n">
        <v>4040.99</v>
      </c>
      <c r="J16" s="5" t="n">
        <f aca="false">+J15+D16</f>
        <v>4040.99</v>
      </c>
    </row>
    <row r="17" customFormat="false" ht="15" hidden="false" customHeight="false" outlineLevel="0" collapsed="false">
      <c r="A17" s="14" t="n">
        <v>44052</v>
      </c>
      <c r="B17" s="15" t="n">
        <v>224771</v>
      </c>
      <c r="C17" s="15" t="s">
        <v>16</v>
      </c>
      <c r="D17" s="16" t="n">
        <v>-92</v>
      </c>
      <c r="E17" s="16" t="n">
        <v>92</v>
      </c>
      <c r="F17" s="16" t="n">
        <v>0</v>
      </c>
      <c r="G17" s="17" t="n">
        <v>3948.99</v>
      </c>
      <c r="J17" s="5" t="n">
        <f aca="false">+J16+D17</f>
        <v>3948.99</v>
      </c>
    </row>
    <row r="18" customFormat="false" ht="15" hidden="false" customHeight="false" outlineLevel="0" collapsed="false">
      <c r="A18" s="14" t="n">
        <v>44052</v>
      </c>
      <c r="B18" s="15" t="n">
        <v>225118</v>
      </c>
      <c r="C18" s="15" t="s">
        <v>17</v>
      </c>
      <c r="D18" s="16" t="n">
        <v>-252</v>
      </c>
      <c r="E18" s="16" t="n">
        <v>252</v>
      </c>
      <c r="F18" s="16" t="n">
        <v>0</v>
      </c>
      <c r="G18" s="17" t="n">
        <v>3696.99</v>
      </c>
      <c r="J18" s="5" t="n">
        <f aca="false">+J17+D18</f>
        <v>3696.99</v>
      </c>
    </row>
    <row r="19" customFormat="false" ht="15" hidden="false" customHeight="false" outlineLevel="0" collapsed="false">
      <c r="A19" s="10" t="n">
        <v>44055</v>
      </c>
      <c r="B19" s="11" t="n">
        <v>248549</v>
      </c>
      <c r="C19" s="11" t="s">
        <v>9</v>
      </c>
      <c r="D19" s="12" t="n">
        <v>-2000</v>
      </c>
      <c r="E19" s="12" t="n">
        <v>2000</v>
      </c>
      <c r="F19" s="12" t="n">
        <v>0</v>
      </c>
      <c r="G19" s="13" t="n">
        <v>1696.99</v>
      </c>
      <c r="J19" s="5" t="n">
        <f aca="false">+J18+D19</f>
        <v>1696.99</v>
      </c>
    </row>
    <row r="20" customFormat="false" ht="15" hidden="false" customHeight="false" outlineLevel="0" collapsed="false">
      <c r="A20" s="18" t="n">
        <v>44057</v>
      </c>
      <c r="B20" s="19" t="n">
        <v>892170</v>
      </c>
      <c r="C20" s="19" t="s">
        <v>11</v>
      </c>
      <c r="D20" s="20" t="n">
        <v>2354.25</v>
      </c>
      <c r="E20" s="20" t="n">
        <v>0</v>
      </c>
      <c r="F20" s="20" t="n">
        <v>2354.25</v>
      </c>
      <c r="G20" s="21" t="n">
        <v>4051.24</v>
      </c>
      <c r="J20" s="5" t="n">
        <f aca="false">+J19+D20</f>
        <v>4051.24</v>
      </c>
    </row>
    <row r="21" customFormat="false" ht="15" hidden="false" customHeight="false" outlineLevel="0" collapsed="false">
      <c r="A21" s="14" t="n">
        <v>44062</v>
      </c>
      <c r="B21" s="15" t="n">
        <v>87101521</v>
      </c>
      <c r="C21" s="15" t="s">
        <v>18</v>
      </c>
      <c r="D21" s="16" t="n">
        <v>-2500</v>
      </c>
      <c r="E21" s="16" t="n">
        <v>2500</v>
      </c>
      <c r="F21" s="16" t="n">
        <v>0</v>
      </c>
      <c r="G21" s="17" t="n">
        <v>1551.24</v>
      </c>
      <c r="J21" s="5" t="n">
        <f aca="false">+J20+D21</f>
        <v>1551.24</v>
      </c>
    </row>
    <row r="22" customFormat="false" ht="15" hidden="false" customHeight="false" outlineLevel="0" collapsed="false">
      <c r="A22" s="14" t="n">
        <v>44063</v>
      </c>
      <c r="B22" s="15" t="n">
        <v>350718</v>
      </c>
      <c r="C22" s="15" t="s">
        <v>19</v>
      </c>
      <c r="D22" s="16" t="n">
        <v>-223.25</v>
      </c>
      <c r="E22" s="16" t="n">
        <v>223.25</v>
      </c>
      <c r="F22" s="16" t="n">
        <v>0</v>
      </c>
      <c r="G22" s="17" t="n">
        <v>1327.99</v>
      </c>
      <c r="J22" s="5" t="n">
        <f aca="false">+J21+D22</f>
        <v>1327.99</v>
      </c>
    </row>
    <row r="23" customFormat="false" ht="19.5" hidden="false" customHeight="false" outlineLevel="0" collapsed="false">
      <c r="A23" s="22" t="n">
        <v>44066</v>
      </c>
      <c r="B23" s="23" t="n">
        <v>377978</v>
      </c>
      <c r="C23" s="23" t="s">
        <v>20</v>
      </c>
      <c r="D23" s="24" t="n">
        <v>-20</v>
      </c>
      <c r="E23" s="24" t="n">
        <v>20</v>
      </c>
      <c r="F23" s="24" t="n">
        <v>0</v>
      </c>
      <c r="G23" s="25" t="n">
        <v>1307.99</v>
      </c>
      <c r="J23" s="26" t="n">
        <f aca="false">+J22+D23</f>
        <v>1307.99</v>
      </c>
    </row>
    <row r="24" customFormat="false" ht="15" hidden="false" customHeight="false" outlineLevel="0" collapsed="false">
      <c r="A24" s="31" t="n">
        <v>44075</v>
      </c>
      <c r="B24" s="32" t="n">
        <v>88522141</v>
      </c>
      <c r="C24" s="32" t="s">
        <v>18</v>
      </c>
      <c r="D24" s="33" t="n">
        <v>-1300</v>
      </c>
      <c r="E24" s="33" t="n">
        <v>1300</v>
      </c>
      <c r="F24" s="33" t="n">
        <v>0</v>
      </c>
      <c r="G24" s="34" t="n">
        <v>7.99</v>
      </c>
      <c r="J24" s="5" t="n">
        <f aca="false">+J23+D24</f>
        <v>7.98999999999933</v>
      </c>
    </row>
    <row r="25" customFormat="false" ht="15" hidden="false" customHeight="false" outlineLevel="0" collapsed="false">
      <c r="A25" s="18" t="n">
        <v>44076</v>
      </c>
      <c r="B25" s="19" t="n">
        <v>907759</v>
      </c>
      <c r="C25" s="19" t="s">
        <v>11</v>
      </c>
      <c r="D25" s="20" t="n">
        <v>2354.25</v>
      </c>
      <c r="E25" s="20" t="n">
        <v>0</v>
      </c>
      <c r="F25" s="20" t="n">
        <v>2354.25</v>
      </c>
      <c r="G25" s="21" t="n">
        <v>2362.24</v>
      </c>
      <c r="J25" s="5" t="n">
        <f aca="false">+J24+D25</f>
        <v>2362.24</v>
      </c>
    </row>
    <row r="26" customFormat="false" ht="15" hidden="false" customHeight="false" outlineLevel="0" collapsed="false">
      <c r="A26" s="14" t="n">
        <v>44076</v>
      </c>
      <c r="B26" s="15" t="n">
        <v>525965</v>
      </c>
      <c r="C26" s="15" t="s">
        <v>8</v>
      </c>
      <c r="D26" s="16" t="n">
        <v>-48.09</v>
      </c>
      <c r="E26" s="16" t="n">
        <v>48.09</v>
      </c>
      <c r="F26" s="16" t="n">
        <v>0</v>
      </c>
      <c r="G26" s="17" t="n">
        <v>2314.15</v>
      </c>
      <c r="J26" s="5" t="n">
        <f aca="false">+J25+D26</f>
        <v>2314.15</v>
      </c>
    </row>
    <row r="27" customFormat="false" ht="15" hidden="false" customHeight="false" outlineLevel="0" collapsed="false">
      <c r="A27" s="14" t="n">
        <v>44077</v>
      </c>
      <c r="B27" s="15" t="n">
        <v>88600711</v>
      </c>
      <c r="C27" s="15" t="s">
        <v>18</v>
      </c>
      <c r="D27" s="16" t="n">
        <v>-1000</v>
      </c>
      <c r="E27" s="16" t="n">
        <v>1000</v>
      </c>
      <c r="F27" s="16" t="n">
        <v>0</v>
      </c>
      <c r="G27" s="17" t="n">
        <v>1314.15</v>
      </c>
      <c r="J27" s="5" t="n">
        <f aca="false">+J26+D27</f>
        <v>1314.15</v>
      </c>
    </row>
    <row r="28" customFormat="false" ht="15" hidden="false" customHeight="false" outlineLevel="0" collapsed="false">
      <c r="A28" s="14" t="n">
        <v>44077</v>
      </c>
      <c r="B28" s="15" t="n">
        <v>88601321</v>
      </c>
      <c r="C28" s="15" t="s">
        <v>18</v>
      </c>
      <c r="D28" s="16" t="n">
        <v>-1130</v>
      </c>
      <c r="E28" s="16" t="n">
        <v>1130</v>
      </c>
      <c r="F28" s="16" t="n">
        <v>0</v>
      </c>
      <c r="G28" s="17" t="n">
        <v>184.15</v>
      </c>
      <c r="J28" s="5" t="n">
        <f aca="false">+J27+D28</f>
        <v>184.149999999999</v>
      </c>
    </row>
    <row r="29" customFormat="false" ht="15" hidden="false" customHeight="false" outlineLevel="0" collapsed="false">
      <c r="A29" s="14" t="n">
        <v>44077</v>
      </c>
      <c r="B29" s="15" t="n">
        <v>88613450</v>
      </c>
      <c r="C29" s="15" t="s">
        <v>18</v>
      </c>
      <c r="D29" s="16" t="n">
        <v>1000</v>
      </c>
      <c r="E29" s="16" t="n">
        <v>0</v>
      </c>
      <c r="F29" s="16" t="n">
        <v>1000</v>
      </c>
      <c r="G29" s="17" t="n">
        <v>1184.15</v>
      </c>
      <c r="J29" s="5" t="n">
        <f aca="false">+J28+D29</f>
        <v>1184.15</v>
      </c>
    </row>
    <row r="30" customFormat="false" ht="15" hidden="false" customHeight="false" outlineLevel="0" collapsed="false">
      <c r="A30" s="35" t="n">
        <v>44082</v>
      </c>
      <c r="B30" s="36" t="n">
        <v>91326969</v>
      </c>
      <c r="C30" s="36" t="s">
        <v>21</v>
      </c>
      <c r="D30" s="37" t="n">
        <v>-79.91</v>
      </c>
      <c r="E30" s="37" t="n">
        <v>79.91</v>
      </c>
      <c r="F30" s="37" t="n">
        <v>0</v>
      </c>
      <c r="G30" s="38" t="n">
        <v>1104.24</v>
      </c>
      <c r="J30" s="5" t="n">
        <f aca="false">+J29+D30</f>
        <v>1104.24</v>
      </c>
    </row>
    <row r="31" customFormat="false" ht="15" hidden="false" customHeight="false" outlineLevel="0" collapsed="false">
      <c r="A31" s="14" t="n">
        <v>44084</v>
      </c>
      <c r="B31" s="15" t="n">
        <v>629533</v>
      </c>
      <c r="C31" s="15" t="s">
        <v>20</v>
      </c>
      <c r="D31" s="16" t="n">
        <v>-67</v>
      </c>
      <c r="E31" s="16" t="n">
        <v>67</v>
      </c>
      <c r="F31" s="16" t="n">
        <v>0</v>
      </c>
      <c r="G31" s="17" t="n">
        <v>1037.24</v>
      </c>
      <c r="J31" s="5" t="n">
        <f aca="false">+J30+D31</f>
        <v>1037.24</v>
      </c>
    </row>
    <row r="32" customFormat="false" ht="15" hidden="false" customHeight="false" outlineLevel="0" collapsed="false">
      <c r="A32" s="14" t="n">
        <v>44086</v>
      </c>
      <c r="B32" s="15" t="n">
        <v>659854</v>
      </c>
      <c r="C32" s="15" t="s">
        <v>22</v>
      </c>
      <c r="D32" s="16" t="n">
        <v>-112</v>
      </c>
      <c r="E32" s="16" t="n">
        <v>112</v>
      </c>
      <c r="F32" s="16" t="n">
        <v>0</v>
      </c>
      <c r="G32" s="17" t="n">
        <v>925.24</v>
      </c>
      <c r="J32" s="5" t="n">
        <f aca="false">+J31+D32</f>
        <v>925.239999999999</v>
      </c>
    </row>
    <row r="33" customFormat="false" ht="15" hidden="false" customHeight="false" outlineLevel="0" collapsed="false">
      <c r="A33" s="14" t="n">
        <v>44087</v>
      </c>
      <c r="B33" s="15" t="n">
        <v>664882</v>
      </c>
      <c r="C33" s="15" t="s">
        <v>23</v>
      </c>
      <c r="D33" s="16" t="n">
        <v>-37.94</v>
      </c>
      <c r="E33" s="16" t="n">
        <v>37.94</v>
      </c>
      <c r="F33" s="16" t="n">
        <v>0</v>
      </c>
      <c r="G33" s="17" t="n">
        <v>887.3</v>
      </c>
      <c r="J33" s="5" t="n">
        <f aca="false">+J32+D33</f>
        <v>887.299999999999</v>
      </c>
    </row>
    <row r="34" customFormat="false" ht="15" hidden="false" customHeight="false" outlineLevel="0" collapsed="false">
      <c r="A34" s="18" t="n">
        <v>44090</v>
      </c>
      <c r="B34" s="19" t="n">
        <v>916366</v>
      </c>
      <c r="C34" s="19" t="s">
        <v>11</v>
      </c>
      <c r="D34" s="20" t="n">
        <v>2354.25</v>
      </c>
      <c r="E34" s="20" t="n">
        <v>0</v>
      </c>
      <c r="F34" s="20" t="n">
        <v>2354.25</v>
      </c>
      <c r="G34" s="21" t="n">
        <v>3241.55</v>
      </c>
      <c r="J34" s="5" t="n">
        <f aca="false">+J33+D34</f>
        <v>3241.55</v>
      </c>
    </row>
    <row r="35" customFormat="false" ht="15" hidden="false" customHeight="false" outlineLevel="0" collapsed="false">
      <c r="A35" s="14" t="n">
        <v>44094</v>
      </c>
      <c r="B35" s="15" t="n">
        <v>796461</v>
      </c>
      <c r="C35" s="15" t="s">
        <v>16</v>
      </c>
      <c r="D35" s="16" t="n">
        <v>-122</v>
      </c>
      <c r="E35" s="16" t="n">
        <v>122</v>
      </c>
      <c r="F35" s="16" t="n">
        <v>0</v>
      </c>
      <c r="G35" s="17" t="n">
        <v>3119.55</v>
      </c>
      <c r="J35" s="5" t="n">
        <f aca="false">+J34+D35</f>
        <v>3119.55</v>
      </c>
    </row>
    <row r="36" customFormat="false" ht="15" hidden="false" customHeight="false" outlineLevel="0" collapsed="false">
      <c r="A36" s="14" t="n">
        <v>44097</v>
      </c>
      <c r="B36" s="15" t="n">
        <v>826319</v>
      </c>
      <c r="C36" s="15" t="s">
        <v>17</v>
      </c>
      <c r="D36" s="16" t="n">
        <v>-79</v>
      </c>
      <c r="E36" s="16" t="n">
        <v>79</v>
      </c>
      <c r="F36" s="16" t="n">
        <v>0</v>
      </c>
      <c r="G36" s="17" t="n">
        <v>3040.55</v>
      </c>
      <c r="J36" s="5" t="n">
        <f aca="false">+J35+D36</f>
        <v>3040.55</v>
      </c>
    </row>
    <row r="37" customFormat="false" ht="15" hidden="false" customHeight="false" outlineLevel="0" collapsed="false">
      <c r="A37" s="10" t="n">
        <v>44097</v>
      </c>
      <c r="B37" s="11" t="n">
        <v>826333</v>
      </c>
      <c r="C37" s="11" t="s">
        <v>9</v>
      </c>
      <c r="D37" s="12" t="n">
        <v>-300</v>
      </c>
      <c r="E37" s="12" t="n">
        <v>300</v>
      </c>
      <c r="F37" s="12" t="n">
        <v>0</v>
      </c>
      <c r="G37" s="13" t="n">
        <v>2740.55</v>
      </c>
      <c r="J37" s="5" t="n">
        <f aca="false">+J36+D37</f>
        <v>2740.55</v>
      </c>
    </row>
    <row r="38" customFormat="false" ht="15" hidden="false" customHeight="false" outlineLevel="0" collapsed="false">
      <c r="A38" s="14" t="n">
        <v>44097</v>
      </c>
      <c r="B38" s="15" t="n">
        <v>835136</v>
      </c>
      <c r="C38" s="15" t="s">
        <v>14</v>
      </c>
      <c r="D38" s="16" t="n">
        <v>-79.22</v>
      </c>
      <c r="E38" s="16" t="n">
        <v>79.22</v>
      </c>
      <c r="F38" s="16" t="n">
        <v>0</v>
      </c>
      <c r="G38" s="17" t="n">
        <v>2661.33</v>
      </c>
      <c r="J38" s="5" t="n">
        <f aca="false">+J37+D38</f>
        <v>2661.33</v>
      </c>
    </row>
    <row r="39" customFormat="false" ht="19.5" hidden="false" customHeight="false" outlineLevel="0" collapsed="false">
      <c r="A39" s="39" t="n">
        <v>44104</v>
      </c>
      <c r="B39" s="40" t="n">
        <v>927187</v>
      </c>
      <c r="C39" s="40" t="s">
        <v>11</v>
      </c>
      <c r="D39" s="41" t="n">
        <v>2354.25</v>
      </c>
      <c r="E39" s="41" t="n">
        <v>0</v>
      </c>
      <c r="F39" s="41" t="n">
        <v>2354.25</v>
      </c>
      <c r="G39" s="42" t="n">
        <v>5015.58</v>
      </c>
      <c r="J39" s="26" t="n">
        <f aca="false">+J38+D39</f>
        <v>5015.58</v>
      </c>
    </row>
    <row r="40" customFormat="false" ht="15" hidden="false" customHeight="false" outlineLevel="0" collapsed="false">
      <c r="A40" s="6" t="n">
        <v>44105</v>
      </c>
      <c r="B40" s="7" t="n">
        <v>394461</v>
      </c>
      <c r="C40" s="7" t="s">
        <v>24</v>
      </c>
      <c r="D40" s="8" t="n">
        <v>-224</v>
      </c>
      <c r="E40" s="8" t="n">
        <v>224</v>
      </c>
      <c r="F40" s="8" t="n">
        <v>0</v>
      </c>
      <c r="G40" s="9" t="n">
        <v>4791.58</v>
      </c>
      <c r="J40" s="5" t="n">
        <f aca="false">+J39+D40</f>
        <v>4791.58</v>
      </c>
    </row>
    <row r="41" customFormat="false" ht="15" hidden="false" customHeight="false" outlineLevel="0" collapsed="false">
      <c r="A41" s="35" t="n">
        <v>44105</v>
      </c>
      <c r="B41" s="36" t="n">
        <v>92702396</v>
      </c>
      <c r="C41" s="36" t="s">
        <v>21</v>
      </c>
      <c r="D41" s="37" t="n">
        <v>-98.17</v>
      </c>
      <c r="E41" s="37" t="n">
        <v>98.17</v>
      </c>
      <c r="F41" s="37" t="n">
        <v>0</v>
      </c>
      <c r="G41" s="38" t="n">
        <v>4693.41</v>
      </c>
      <c r="J41" s="5" t="n">
        <f aca="false">+J40+D41</f>
        <v>4693.41</v>
      </c>
    </row>
    <row r="42" customFormat="false" ht="15" hidden="false" customHeight="false" outlineLevel="0" collapsed="false">
      <c r="A42" s="14" t="n">
        <v>44105</v>
      </c>
      <c r="B42" s="15" t="n">
        <v>90903908</v>
      </c>
      <c r="C42" s="15" t="s">
        <v>18</v>
      </c>
      <c r="D42" s="16" t="n">
        <v>-2000</v>
      </c>
      <c r="E42" s="16" t="n">
        <v>2000</v>
      </c>
      <c r="F42" s="16" t="n">
        <v>0</v>
      </c>
      <c r="G42" s="17" t="n">
        <v>2693.41</v>
      </c>
      <c r="J42" s="5" t="n">
        <f aca="false">+J41+D42</f>
        <v>2693.41</v>
      </c>
    </row>
    <row r="43" customFormat="false" ht="15" hidden="false" customHeight="false" outlineLevel="0" collapsed="false">
      <c r="A43" s="14" t="n">
        <v>44105</v>
      </c>
      <c r="B43" s="15" t="n">
        <v>90903909</v>
      </c>
      <c r="C43" s="15" t="s">
        <v>18</v>
      </c>
      <c r="D43" s="16" t="n">
        <v>-1350</v>
      </c>
      <c r="E43" s="16" t="n">
        <v>1350</v>
      </c>
      <c r="F43" s="16" t="n">
        <v>0</v>
      </c>
      <c r="G43" s="17" t="n">
        <v>1343.41</v>
      </c>
      <c r="J43" s="5" t="n">
        <f aca="false">+J42+D43</f>
        <v>1343.41</v>
      </c>
    </row>
    <row r="44" customFormat="false" ht="15" hidden="false" customHeight="false" outlineLevel="0" collapsed="false">
      <c r="A44" s="14" t="n">
        <v>44105</v>
      </c>
      <c r="B44" s="15" t="n">
        <v>90937052</v>
      </c>
      <c r="C44" s="15" t="s">
        <v>18</v>
      </c>
      <c r="D44" s="16" t="n">
        <v>2000</v>
      </c>
      <c r="E44" s="16" t="n">
        <v>0</v>
      </c>
      <c r="F44" s="16" t="n">
        <v>2000</v>
      </c>
      <c r="G44" s="17" t="n">
        <v>3343.41</v>
      </c>
      <c r="J44" s="5" t="n">
        <f aca="false">+J43+D44</f>
        <v>3343.41</v>
      </c>
    </row>
    <row r="45" customFormat="false" ht="15" hidden="false" customHeight="false" outlineLevel="0" collapsed="false">
      <c r="A45" s="14" t="n">
        <v>44107</v>
      </c>
      <c r="B45" s="15" t="n">
        <v>936948</v>
      </c>
      <c r="C45" s="15" t="s">
        <v>25</v>
      </c>
      <c r="D45" s="16" t="n">
        <v>-25</v>
      </c>
      <c r="E45" s="16" t="n">
        <v>25</v>
      </c>
      <c r="F45" s="16" t="n">
        <v>0</v>
      </c>
      <c r="G45" s="17" t="n">
        <v>3318.41</v>
      </c>
      <c r="J45" s="5" t="n">
        <f aca="false">+J44+D45</f>
        <v>3318.41</v>
      </c>
    </row>
    <row r="46" customFormat="false" ht="15" hidden="false" customHeight="false" outlineLevel="0" collapsed="false">
      <c r="A46" s="10" t="n">
        <v>44107</v>
      </c>
      <c r="B46" s="11" t="n">
        <v>937046</v>
      </c>
      <c r="C46" s="11" t="s">
        <v>9</v>
      </c>
      <c r="D46" s="12" t="n">
        <v>-700</v>
      </c>
      <c r="E46" s="12" t="n">
        <v>700</v>
      </c>
      <c r="F46" s="12" t="n">
        <v>0</v>
      </c>
      <c r="G46" s="13" t="n">
        <v>2618.41</v>
      </c>
      <c r="J46" s="5" t="n">
        <f aca="false">+J45+D46</f>
        <v>2618.41</v>
      </c>
    </row>
    <row r="47" customFormat="false" ht="15" hidden="false" customHeight="false" outlineLevel="0" collapsed="false">
      <c r="A47" s="14" t="n">
        <v>44109</v>
      </c>
      <c r="B47" s="15" t="n">
        <v>91286097</v>
      </c>
      <c r="C47" s="15" t="s">
        <v>18</v>
      </c>
      <c r="D47" s="16" t="n">
        <v>-500</v>
      </c>
      <c r="E47" s="16" t="n">
        <v>500</v>
      </c>
      <c r="F47" s="16" t="n">
        <v>0</v>
      </c>
      <c r="G47" s="17" t="n">
        <v>2118.41</v>
      </c>
      <c r="J47" s="5" t="n">
        <f aca="false">+J46+D47</f>
        <v>2118.41</v>
      </c>
    </row>
    <row r="48" customFormat="false" ht="15" hidden="false" customHeight="false" outlineLevel="0" collapsed="false">
      <c r="A48" s="14" t="n">
        <v>44110</v>
      </c>
      <c r="B48" s="15" t="n">
        <v>967261</v>
      </c>
      <c r="C48" s="15" t="s">
        <v>26</v>
      </c>
      <c r="D48" s="16" t="n">
        <v>-30</v>
      </c>
      <c r="E48" s="16" t="n">
        <v>30</v>
      </c>
      <c r="F48" s="16" t="n">
        <v>0</v>
      </c>
      <c r="G48" s="17" t="n">
        <v>2088.41</v>
      </c>
      <c r="J48" s="5" t="n">
        <f aca="false">+J47+D48</f>
        <v>2088.41</v>
      </c>
    </row>
    <row r="49" customFormat="false" ht="15" hidden="false" customHeight="false" outlineLevel="0" collapsed="false">
      <c r="A49" s="10" t="n">
        <v>44112</v>
      </c>
      <c r="B49" s="11" t="n">
        <v>981998</v>
      </c>
      <c r="C49" s="11" t="s">
        <v>9</v>
      </c>
      <c r="D49" s="12" t="n">
        <v>-300</v>
      </c>
      <c r="E49" s="12" t="n">
        <v>300</v>
      </c>
      <c r="F49" s="12" t="n">
        <v>0</v>
      </c>
      <c r="G49" s="13" t="n">
        <v>1788.41</v>
      </c>
      <c r="J49" s="5" t="n">
        <f aca="false">+J48+D49</f>
        <v>1788.41</v>
      </c>
    </row>
    <row r="50" customFormat="false" ht="15" hidden="false" customHeight="false" outlineLevel="0" collapsed="false">
      <c r="A50" s="10" t="n">
        <v>44114</v>
      </c>
      <c r="B50" s="11" t="n">
        <v>993335</v>
      </c>
      <c r="C50" s="11" t="s">
        <v>9</v>
      </c>
      <c r="D50" s="12" t="n">
        <v>-1000</v>
      </c>
      <c r="E50" s="12" t="n">
        <v>1000</v>
      </c>
      <c r="F50" s="12" t="n">
        <v>0</v>
      </c>
      <c r="G50" s="13" t="n">
        <v>788.41</v>
      </c>
      <c r="J50" s="5" t="n">
        <f aca="false">+J49+D50</f>
        <v>788.41</v>
      </c>
    </row>
    <row r="51" customFormat="false" ht="15" hidden="false" customHeight="false" outlineLevel="0" collapsed="false">
      <c r="A51" s="18" t="n">
        <v>44119</v>
      </c>
      <c r="B51" s="19" t="n">
        <v>940506</v>
      </c>
      <c r="C51" s="19" t="s">
        <v>11</v>
      </c>
      <c r="D51" s="20" t="n">
        <v>2354.25</v>
      </c>
      <c r="E51" s="20" t="n">
        <v>0</v>
      </c>
      <c r="F51" s="20" t="n">
        <v>2354.25</v>
      </c>
      <c r="G51" s="21" t="n">
        <v>3142.66</v>
      </c>
      <c r="J51" s="5" t="n">
        <f aca="false">+J50+D51</f>
        <v>3142.66</v>
      </c>
    </row>
    <row r="52" customFormat="false" ht="15" hidden="false" customHeight="false" outlineLevel="0" collapsed="false">
      <c r="A52" s="14" t="n">
        <v>44121</v>
      </c>
      <c r="B52" s="15" t="n">
        <v>73844</v>
      </c>
      <c r="C52" s="15" t="s">
        <v>19</v>
      </c>
      <c r="D52" s="16" t="n">
        <v>-746.1</v>
      </c>
      <c r="E52" s="16" t="n">
        <v>746.1</v>
      </c>
      <c r="F52" s="16" t="n">
        <v>0</v>
      </c>
      <c r="G52" s="17" t="n">
        <v>2396.56</v>
      </c>
      <c r="J52" s="5" t="n">
        <f aca="false">+J51+D52</f>
        <v>2396.56</v>
      </c>
    </row>
    <row r="53" customFormat="false" ht="15" hidden="false" customHeight="false" outlineLevel="0" collapsed="false">
      <c r="A53" s="35" t="n">
        <v>44126</v>
      </c>
      <c r="B53" s="36" t="n">
        <v>400688</v>
      </c>
      <c r="C53" s="36" t="s">
        <v>24</v>
      </c>
      <c r="D53" s="37" t="n">
        <v>-224</v>
      </c>
      <c r="E53" s="37" t="n">
        <v>224</v>
      </c>
      <c r="F53" s="37" t="n">
        <v>0</v>
      </c>
      <c r="G53" s="38" t="n">
        <v>2172.56</v>
      </c>
      <c r="J53" s="5" t="n">
        <f aca="false">+J52+D53</f>
        <v>2172.56</v>
      </c>
    </row>
    <row r="54" customFormat="false" ht="15" hidden="false" customHeight="false" outlineLevel="0" collapsed="false">
      <c r="A54" s="14" t="n">
        <v>44128</v>
      </c>
      <c r="B54" s="15" t="n">
        <v>136828</v>
      </c>
      <c r="C54" s="15" t="s">
        <v>27</v>
      </c>
      <c r="D54" s="16" t="n">
        <v>-477</v>
      </c>
      <c r="E54" s="16" t="n">
        <v>477</v>
      </c>
      <c r="F54" s="16" t="n">
        <v>0</v>
      </c>
      <c r="G54" s="17" t="n">
        <v>1695.56</v>
      </c>
      <c r="J54" s="5" t="n">
        <f aca="false">+J53+D54</f>
        <v>1695.56</v>
      </c>
    </row>
    <row r="55" customFormat="false" ht="15" hidden="false" customHeight="false" outlineLevel="0" collapsed="false">
      <c r="A55" s="14" t="n">
        <v>44128</v>
      </c>
      <c r="B55" s="15" t="n">
        <v>136835</v>
      </c>
      <c r="C55" s="15" t="s">
        <v>27</v>
      </c>
      <c r="D55" s="16" t="n">
        <v>-15</v>
      </c>
      <c r="E55" s="16" t="n">
        <v>15</v>
      </c>
      <c r="F55" s="16" t="n">
        <v>0</v>
      </c>
      <c r="G55" s="17" t="n">
        <v>1680.56</v>
      </c>
      <c r="J55" s="5" t="n">
        <f aca="false">+J54+D55</f>
        <v>1680.56</v>
      </c>
    </row>
    <row r="56" customFormat="false" ht="15" hidden="false" customHeight="false" outlineLevel="0" collapsed="false">
      <c r="A56" s="14" t="n">
        <v>44128</v>
      </c>
      <c r="B56" s="15" t="n">
        <v>137268</v>
      </c>
      <c r="C56" s="15" t="s">
        <v>17</v>
      </c>
      <c r="D56" s="16" t="n">
        <v>-64</v>
      </c>
      <c r="E56" s="16" t="n">
        <v>64</v>
      </c>
      <c r="F56" s="16" t="n">
        <v>0</v>
      </c>
      <c r="G56" s="17" t="n">
        <v>1616.56</v>
      </c>
      <c r="J56" s="5" t="n">
        <f aca="false">+J55+D56</f>
        <v>1616.56</v>
      </c>
    </row>
    <row r="57" customFormat="false" ht="15" hidden="false" customHeight="false" outlineLevel="0" collapsed="false">
      <c r="A57" s="14" t="n">
        <v>44132</v>
      </c>
      <c r="B57" s="15" t="n">
        <v>93427195</v>
      </c>
      <c r="C57" s="15" t="s">
        <v>18</v>
      </c>
      <c r="D57" s="16" t="n">
        <v>-340</v>
      </c>
      <c r="E57" s="16" t="n">
        <v>340</v>
      </c>
      <c r="F57" s="16" t="n">
        <v>0</v>
      </c>
      <c r="G57" s="17" t="n">
        <v>1276.56</v>
      </c>
      <c r="J57" s="5" t="n">
        <f aca="false">+J56+D57</f>
        <v>1276.56</v>
      </c>
    </row>
    <row r="58" customFormat="false" ht="15" hidden="false" customHeight="false" outlineLevel="0" collapsed="false">
      <c r="A58" s="18" t="n">
        <v>44134</v>
      </c>
      <c r="B58" s="19" t="n">
        <v>954297</v>
      </c>
      <c r="C58" s="19" t="s">
        <v>11</v>
      </c>
      <c r="D58" s="20" t="n">
        <v>2354.25</v>
      </c>
      <c r="E58" s="20" t="n">
        <v>0</v>
      </c>
      <c r="F58" s="20" t="n">
        <v>2354.25</v>
      </c>
      <c r="G58" s="21" t="n">
        <v>3630.81</v>
      </c>
      <c r="J58" s="5" t="n">
        <f aca="false">+J57+D58</f>
        <v>3630.81</v>
      </c>
    </row>
    <row r="59" customFormat="false" ht="15" hidden="false" customHeight="false" outlineLevel="0" collapsed="false">
      <c r="A59" s="10" t="n">
        <v>44135</v>
      </c>
      <c r="B59" s="11" t="n">
        <v>212073</v>
      </c>
      <c r="C59" s="11" t="s">
        <v>9</v>
      </c>
      <c r="D59" s="12" t="n">
        <v>-1200</v>
      </c>
      <c r="E59" s="12" t="n">
        <v>1200</v>
      </c>
      <c r="F59" s="12" t="n">
        <v>0</v>
      </c>
      <c r="G59" s="13" t="n">
        <v>2430.81</v>
      </c>
      <c r="J59" s="5" t="n">
        <f aca="false">+J58+D59</f>
        <v>2430.81</v>
      </c>
    </row>
    <row r="60" customFormat="false" ht="19.5" hidden="false" customHeight="false" outlineLevel="0" collapsed="false">
      <c r="A60" s="43" t="n">
        <v>44135</v>
      </c>
      <c r="B60" s="44" t="n">
        <v>94392458</v>
      </c>
      <c r="C60" s="44" t="s">
        <v>21</v>
      </c>
      <c r="D60" s="45" t="n">
        <v>-168.49</v>
      </c>
      <c r="E60" s="45" t="n">
        <v>168.49</v>
      </c>
      <c r="F60" s="45" t="n">
        <v>0</v>
      </c>
      <c r="G60" s="46" t="n">
        <v>2262.32</v>
      </c>
      <c r="J60" s="26" t="n">
        <f aca="false">+J59+D60</f>
        <v>2262.32</v>
      </c>
      <c r="K60" s="5"/>
    </row>
    <row r="61" customFormat="false" ht="15" hidden="false" customHeight="false" outlineLevel="0" collapsed="false">
      <c r="A61" s="47" t="n">
        <v>44138</v>
      </c>
      <c r="B61" s="48" t="n">
        <v>94009778</v>
      </c>
      <c r="C61" s="48" t="s">
        <v>18</v>
      </c>
      <c r="D61" s="49" t="n">
        <v>-1350</v>
      </c>
      <c r="E61" s="49" t="n">
        <v>1350</v>
      </c>
      <c r="F61" s="49" t="n">
        <v>0</v>
      </c>
      <c r="G61" s="49" t="n">
        <v>912.32</v>
      </c>
      <c r="J61" s="5" t="n">
        <f aca="false">+J60+D61</f>
        <v>912.32</v>
      </c>
    </row>
    <row r="62" customFormat="false" ht="15" hidden="false" customHeight="false" outlineLevel="0" collapsed="false">
      <c r="A62" s="50" t="n">
        <v>44151</v>
      </c>
      <c r="B62" s="51" t="n">
        <v>971163</v>
      </c>
      <c r="C62" s="51" t="s">
        <v>11</v>
      </c>
      <c r="D62" s="52" t="n">
        <v>2504.25</v>
      </c>
      <c r="E62" s="52" t="n">
        <v>0</v>
      </c>
      <c r="F62" s="52" t="n">
        <v>2504.25</v>
      </c>
      <c r="G62" s="52" t="n">
        <v>3416.57</v>
      </c>
      <c r="J62" s="5" t="n">
        <f aca="false">+J61+D62</f>
        <v>3416.57</v>
      </c>
    </row>
    <row r="63" customFormat="false" ht="15" hidden="false" customHeight="false" outlineLevel="0" collapsed="false">
      <c r="A63" s="53" t="n">
        <v>44152</v>
      </c>
      <c r="B63" s="54" t="n">
        <v>424701</v>
      </c>
      <c r="C63" s="54" t="s">
        <v>9</v>
      </c>
      <c r="D63" s="55" t="n">
        <v>-1000</v>
      </c>
      <c r="E63" s="55" t="n">
        <v>1000</v>
      </c>
      <c r="F63" s="55" t="n">
        <v>0</v>
      </c>
      <c r="G63" s="55" t="n">
        <v>2416.57</v>
      </c>
      <c r="J63" s="5" t="n">
        <f aca="false">+J62+D63</f>
        <v>2416.57</v>
      </c>
    </row>
    <row r="64" customFormat="false" ht="15" hidden="false" customHeight="false" outlineLevel="0" collapsed="false">
      <c r="A64" s="56" t="n">
        <v>44152</v>
      </c>
      <c r="B64" s="57" t="n">
        <v>424769</v>
      </c>
      <c r="C64" s="57" t="s">
        <v>19</v>
      </c>
      <c r="D64" s="58" t="n">
        <v>-13</v>
      </c>
      <c r="E64" s="58" t="n">
        <v>13</v>
      </c>
      <c r="F64" s="58" t="n">
        <v>0</v>
      </c>
      <c r="G64" s="58" t="n">
        <v>2403.57</v>
      </c>
      <c r="J64" s="5" t="n">
        <f aca="false">+J63+D64</f>
        <v>2403.57</v>
      </c>
    </row>
    <row r="65" customFormat="false" ht="15" hidden="false" customHeight="false" outlineLevel="0" collapsed="false">
      <c r="A65" s="56" t="n">
        <v>44153</v>
      </c>
      <c r="B65" s="57" t="n">
        <v>95422612</v>
      </c>
      <c r="C65" s="57" t="s">
        <v>18</v>
      </c>
      <c r="D65" s="58" t="n">
        <v>-500</v>
      </c>
      <c r="E65" s="58" t="n">
        <v>500</v>
      </c>
      <c r="F65" s="58" t="n">
        <v>0</v>
      </c>
      <c r="G65" s="58" t="n">
        <v>1903.57</v>
      </c>
      <c r="J65" s="5" t="n">
        <f aca="false">+J64+D65</f>
        <v>1903.57</v>
      </c>
    </row>
    <row r="66" customFormat="false" ht="15" hidden="false" customHeight="false" outlineLevel="0" collapsed="false">
      <c r="A66" s="56" t="n">
        <v>44156</v>
      </c>
      <c r="B66" s="57" t="n">
        <v>466767</v>
      </c>
      <c r="C66" s="57" t="s">
        <v>19</v>
      </c>
      <c r="D66" s="58" t="n">
        <v>-89.45</v>
      </c>
      <c r="E66" s="58" t="n">
        <v>89.45</v>
      </c>
      <c r="F66" s="58" t="n">
        <v>0</v>
      </c>
      <c r="G66" s="58" t="n">
        <v>1814.12</v>
      </c>
      <c r="J66" s="5" t="n">
        <f aca="false">+J65+D66</f>
        <v>1814.12</v>
      </c>
    </row>
    <row r="67" customFormat="false" ht="15" hidden="false" customHeight="false" outlineLevel="0" collapsed="false">
      <c r="A67" s="53" t="n">
        <v>44160</v>
      </c>
      <c r="B67" s="54" t="n">
        <v>518733</v>
      </c>
      <c r="C67" s="54" t="s">
        <v>9</v>
      </c>
      <c r="D67" s="55" t="n">
        <v>-100</v>
      </c>
      <c r="E67" s="55" t="n">
        <v>100</v>
      </c>
      <c r="F67" s="55" t="n">
        <v>0</v>
      </c>
      <c r="G67" s="55" t="n">
        <v>1714.12</v>
      </c>
      <c r="J67" s="5" t="n">
        <f aca="false">+J66+D67</f>
        <v>1714.12</v>
      </c>
    </row>
    <row r="68" customFormat="false" ht="15" hidden="false" customHeight="false" outlineLevel="0" collapsed="false">
      <c r="A68" s="56" t="n">
        <v>44160</v>
      </c>
      <c r="B68" s="57" t="n">
        <v>520451</v>
      </c>
      <c r="C68" s="57" t="s">
        <v>14</v>
      </c>
      <c r="D68" s="58" t="n">
        <v>-199.34</v>
      </c>
      <c r="E68" s="58" t="n">
        <v>199.34</v>
      </c>
      <c r="F68" s="58" t="n">
        <v>0</v>
      </c>
      <c r="G68" s="58" t="n">
        <v>1514.78</v>
      </c>
      <c r="J68" s="5" t="n">
        <f aca="false">+J67+D68</f>
        <v>1514.78</v>
      </c>
    </row>
    <row r="69" customFormat="false" ht="15" hidden="false" customHeight="false" outlineLevel="0" collapsed="false">
      <c r="A69" s="59" t="n">
        <v>44163</v>
      </c>
      <c r="B69" s="60" t="n">
        <v>410357</v>
      </c>
      <c r="C69" s="60" t="s">
        <v>24</v>
      </c>
      <c r="D69" s="61" t="n">
        <v>-224</v>
      </c>
      <c r="E69" s="61" t="n">
        <v>224</v>
      </c>
      <c r="F69" s="61" t="n">
        <v>0</v>
      </c>
      <c r="G69" s="61" t="n">
        <v>1290.78</v>
      </c>
      <c r="J69" s="5" t="n">
        <f aca="false">+J68+D69</f>
        <v>1290.78</v>
      </c>
    </row>
    <row r="70" customFormat="false" ht="15" hidden="false" customHeight="false" outlineLevel="0" collapsed="false">
      <c r="A70" s="56" t="n">
        <v>44163</v>
      </c>
      <c r="B70" s="57" t="n">
        <v>576844</v>
      </c>
      <c r="C70" s="57" t="s">
        <v>28</v>
      </c>
      <c r="D70" s="58" t="n">
        <v>-95</v>
      </c>
      <c r="E70" s="58" t="n">
        <v>95</v>
      </c>
      <c r="F70" s="58" t="n">
        <v>0</v>
      </c>
      <c r="G70" s="58" t="n">
        <v>1195.78</v>
      </c>
      <c r="J70" s="5" t="n">
        <f aca="false">+J69+D70</f>
        <v>1195.78</v>
      </c>
    </row>
    <row r="71" customFormat="false" ht="15" hidden="false" customHeight="false" outlineLevel="0" collapsed="false">
      <c r="A71" s="59" t="n">
        <v>44165</v>
      </c>
      <c r="B71" s="60" t="n">
        <v>96149983</v>
      </c>
      <c r="C71" s="60" t="s">
        <v>21</v>
      </c>
      <c r="D71" s="61" t="n">
        <v>-183.53</v>
      </c>
      <c r="E71" s="61" t="n">
        <v>183.53</v>
      </c>
      <c r="F71" s="61" t="n">
        <v>0</v>
      </c>
      <c r="G71" s="61" t="n">
        <v>1012.25</v>
      </c>
      <c r="J71" s="5" t="n">
        <f aca="false">+J70+D71</f>
        <v>1012.25</v>
      </c>
    </row>
    <row r="72" customFormat="false" ht="15" hidden="false" customHeight="false" outlineLevel="0" collapsed="false">
      <c r="A72" s="50" t="n">
        <v>44165</v>
      </c>
      <c r="B72" s="51" t="n">
        <v>983954</v>
      </c>
      <c r="C72" s="51" t="s">
        <v>11</v>
      </c>
      <c r="D72" s="52" t="n">
        <v>3739.92</v>
      </c>
      <c r="E72" s="52" t="n">
        <v>0</v>
      </c>
      <c r="F72" s="52" t="n">
        <v>3739.92</v>
      </c>
      <c r="G72" s="52" t="n">
        <v>4752.17</v>
      </c>
      <c r="J72" s="5" t="n">
        <f aca="false">+J71+D72</f>
        <v>4752.17</v>
      </c>
    </row>
    <row r="73" customFormat="false" ht="18.75" hidden="false" customHeight="false" outlineLevel="0" collapsed="false">
      <c r="A73" s="56" t="n">
        <v>44165</v>
      </c>
      <c r="B73" s="57" t="n">
        <v>96706496</v>
      </c>
      <c r="C73" s="57" t="s">
        <v>18</v>
      </c>
      <c r="D73" s="58" t="n">
        <v>-1350</v>
      </c>
      <c r="E73" s="58" t="n">
        <v>1350</v>
      </c>
      <c r="F73" s="58" t="n">
        <v>0</v>
      </c>
      <c r="G73" s="58" t="n">
        <v>3402.17</v>
      </c>
      <c r="J73" s="26" t="n">
        <f aca="false">+J72+D73</f>
        <v>3402.17</v>
      </c>
    </row>
    <row r="74" customFormat="false" ht="15" hidden="false" customHeight="false" outlineLevel="0" collapsed="false">
      <c r="A74" s="53" t="n">
        <v>44166</v>
      </c>
      <c r="B74" s="54" t="n">
        <v>627158</v>
      </c>
      <c r="C74" s="54" t="s">
        <v>9</v>
      </c>
      <c r="D74" s="55" t="n">
        <v>-1000</v>
      </c>
      <c r="E74" s="55" t="n">
        <v>1000</v>
      </c>
      <c r="F74" s="55" t="n">
        <v>0</v>
      </c>
      <c r="G74" s="55" t="n">
        <v>2402.17</v>
      </c>
      <c r="J74" s="5" t="n">
        <f aca="false">+J73+D74</f>
        <v>2402.17</v>
      </c>
    </row>
    <row r="75" customFormat="false" ht="15" hidden="false" customHeight="false" outlineLevel="0" collapsed="false">
      <c r="A75" s="56" t="n">
        <v>44168</v>
      </c>
      <c r="B75" s="57" t="n">
        <v>97165986</v>
      </c>
      <c r="C75" s="57" t="s">
        <v>18</v>
      </c>
      <c r="D75" s="58" t="n">
        <v>-373</v>
      </c>
      <c r="E75" s="58" t="n">
        <v>373</v>
      </c>
      <c r="F75" s="58" t="n">
        <v>0</v>
      </c>
      <c r="G75" s="58" t="n">
        <v>2029.17</v>
      </c>
      <c r="J75" s="5" t="n">
        <f aca="false">+J74+D75</f>
        <v>2029.17</v>
      </c>
    </row>
    <row r="76" customFormat="false" ht="15" hidden="false" customHeight="false" outlineLevel="0" collapsed="false">
      <c r="A76" s="56" t="n">
        <v>44174</v>
      </c>
      <c r="B76" s="57" t="n">
        <v>803855</v>
      </c>
      <c r="C76" s="57" t="s">
        <v>17</v>
      </c>
      <c r="D76" s="58" t="n">
        <v>-26.5</v>
      </c>
      <c r="E76" s="58" t="n">
        <v>26.5</v>
      </c>
      <c r="F76" s="58" t="n">
        <v>0</v>
      </c>
      <c r="G76" s="58" t="n">
        <v>2002.67</v>
      </c>
      <c r="J76" s="5" t="n">
        <f aca="false">+J75+D76</f>
        <v>2002.67</v>
      </c>
    </row>
    <row r="77" customFormat="false" ht="15" hidden="false" customHeight="false" outlineLevel="0" collapsed="false">
      <c r="A77" s="53" t="n">
        <v>44174</v>
      </c>
      <c r="B77" s="54" t="n">
        <v>804314</v>
      </c>
      <c r="C77" s="54" t="s">
        <v>9</v>
      </c>
      <c r="D77" s="55" t="n">
        <v>-700</v>
      </c>
      <c r="E77" s="55" t="n">
        <v>700</v>
      </c>
      <c r="F77" s="55" t="n">
        <v>0</v>
      </c>
      <c r="G77" s="55" t="n">
        <v>1302.67</v>
      </c>
      <c r="J77" s="5" t="n">
        <f aca="false">+J76+D77</f>
        <v>1302.67</v>
      </c>
    </row>
    <row r="78" customFormat="false" ht="15" hidden="false" customHeight="false" outlineLevel="0" collapsed="false">
      <c r="A78" s="56" t="n">
        <v>44180</v>
      </c>
      <c r="B78" s="57" t="n">
        <v>1002256</v>
      </c>
      <c r="C78" s="57" t="s">
        <v>11</v>
      </c>
      <c r="D78" s="58" t="n">
        <v>2504.25</v>
      </c>
      <c r="E78" s="58" t="n">
        <v>0</v>
      </c>
      <c r="F78" s="58" t="n">
        <v>2504.25</v>
      </c>
      <c r="G78" s="58" t="n">
        <v>3806.92</v>
      </c>
      <c r="J78" s="5" t="n">
        <f aca="false">+J77+D78</f>
        <v>3806.92</v>
      </c>
    </row>
    <row r="79" customFormat="false" ht="15" hidden="false" customHeight="false" outlineLevel="0" collapsed="false">
      <c r="A79" s="53" t="n">
        <v>44181</v>
      </c>
      <c r="B79" s="54" t="n">
        <v>940700</v>
      </c>
      <c r="C79" s="54" t="s">
        <v>9</v>
      </c>
      <c r="D79" s="55" t="n">
        <v>-1000</v>
      </c>
      <c r="E79" s="55" t="n">
        <v>1000</v>
      </c>
      <c r="F79" s="55" t="n">
        <v>0</v>
      </c>
      <c r="G79" s="55" t="n">
        <v>2806.92</v>
      </c>
      <c r="J79" s="5" t="n">
        <f aca="false">+J78+D79</f>
        <v>2806.92</v>
      </c>
    </row>
    <row r="80" customFormat="false" ht="15" hidden="false" customHeight="false" outlineLevel="0" collapsed="false">
      <c r="A80" s="56" t="n">
        <v>44183</v>
      </c>
      <c r="B80" s="57" t="n">
        <v>969729</v>
      </c>
      <c r="C80" s="57" t="s">
        <v>19</v>
      </c>
      <c r="D80" s="58" t="n">
        <v>-145.05</v>
      </c>
      <c r="E80" s="58" t="n">
        <v>145.05</v>
      </c>
      <c r="F80" s="58" t="n">
        <v>0</v>
      </c>
      <c r="G80" s="58" t="n">
        <v>2661.87</v>
      </c>
      <c r="J80" s="5" t="n">
        <f aca="false">+J79+D80</f>
        <v>2661.87</v>
      </c>
    </row>
    <row r="81" customFormat="false" ht="15" hidden="false" customHeight="false" outlineLevel="0" collapsed="false">
      <c r="A81" s="56" t="n">
        <v>44183</v>
      </c>
      <c r="B81" s="57" t="n">
        <v>984820</v>
      </c>
      <c r="C81" s="57" t="s">
        <v>29</v>
      </c>
      <c r="D81" s="58" t="n">
        <v>-163.7</v>
      </c>
      <c r="E81" s="58" t="n">
        <v>163.7</v>
      </c>
      <c r="F81" s="58" t="n">
        <v>0</v>
      </c>
      <c r="G81" s="58" t="n">
        <v>2498.17</v>
      </c>
      <c r="J81" s="5" t="n">
        <f aca="false">+J80+D81</f>
        <v>2498.17</v>
      </c>
    </row>
    <row r="82" customFormat="false" ht="15" hidden="false" customHeight="false" outlineLevel="0" collapsed="false">
      <c r="A82" s="50" t="n">
        <v>44187</v>
      </c>
      <c r="B82" s="51" t="n">
        <v>1008980</v>
      </c>
      <c r="C82" s="51" t="s">
        <v>11</v>
      </c>
      <c r="D82" s="52" t="n">
        <v>2123.06</v>
      </c>
      <c r="E82" s="52" t="n">
        <v>0</v>
      </c>
      <c r="F82" s="52" t="n">
        <v>2123.06</v>
      </c>
      <c r="G82" s="52" t="n">
        <v>4621.23</v>
      </c>
      <c r="J82" s="5" t="n">
        <f aca="false">+J81+D82</f>
        <v>4621.23</v>
      </c>
    </row>
    <row r="83" customFormat="false" ht="15" hidden="false" customHeight="false" outlineLevel="0" collapsed="false">
      <c r="A83" s="59" t="n">
        <v>44189</v>
      </c>
      <c r="B83" s="60" t="n">
        <v>417818</v>
      </c>
      <c r="C83" s="60" t="s">
        <v>24</v>
      </c>
      <c r="D83" s="61" t="n">
        <v>-224</v>
      </c>
      <c r="E83" s="61" t="n">
        <v>224</v>
      </c>
      <c r="F83" s="61" t="n">
        <v>0</v>
      </c>
      <c r="G83" s="61" t="n">
        <v>4397.23</v>
      </c>
      <c r="J83" s="5" t="n">
        <f aca="false">+J82+D83</f>
        <v>4397.23</v>
      </c>
    </row>
    <row r="84" customFormat="false" ht="15" hidden="false" customHeight="false" outlineLevel="0" collapsed="false">
      <c r="A84" s="56" t="n">
        <v>44189</v>
      </c>
      <c r="B84" s="57" t="n">
        <v>99211805</v>
      </c>
      <c r="C84" s="57" t="s">
        <v>18</v>
      </c>
      <c r="D84" s="58" t="n">
        <v>-460</v>
      </c>
      <c r="E84" s="58" t="n">
        <v>460</v>
      </c>
      <c r="F84" s="58" t="n">
        <v>0</v>
      </c>
      <c r="G84" s="58" t="n">
        <v>3937.23</v>
      </c>
      <c r="J84" s="5" t="n">
        <f aca="false">+J83+D84</f>
        <v>3937.23</v>
      </c>
    </row>
    <row r="85" customFormat="false" ht="15" hidden="false" customHeight="false" outlineLevel="0" collapsed="false">
      <c r="A85" s="56" t="n">
        <v>44189</v>
      </c>
      <c r="B85" s="57" t="n">
        <v>67113</v>
      </c>
      <c r="C85" s="57" t="s">
        <v>30</v>
      </c>
      <c r="D85" s="58" t="n">
        <v>-1319</v>
      </c>
      <c r="E85" s="58" t="n">
        <v>1319</v>
      </c>
      <c r="F85" s="58" t="n">
        <v>0</v>
      </c>
      <c r="G85" s="58" t="n">
        <v>2618.23</v>
      </c>
      <c r="J85" s="5" t="n">
        <f aca="false">+J84+D85</f>
        <v>2618.23</v>
      </c>
    </row>
    <row r="86" customFormat="false" ht="15" hidden="false" customHeight="false" outlineLevel="0" collapsed="false">
      <c r="A86" s="56" t="n">
        <v>44189</v>
      </c>
      <c r="B86" s="57" t="n">
        <v>67756</v>
      </c>
      <c r="C86" s="57" t="s">
        <v>16</v>
      </c>
      <c r="D86" s="58" t="n">
        <v>-106</v>
      </c>
      <c r="E86" s="58" t="n">
        <v>106</v>
      </c>
      <c r="F86" s="58" t="n">
        <v>0</v>
      </c>
      <c r="G86" s="58" t="n">
        <v>2512.23</v>
      </c>
      <c r="J86" s="5" t="n">
        <f aca="false">+J85+D86</f>
        <v>2512.23</v>
      </c>
    </row>
    <row r="87" customFormat="false" ht="15" hidden="false" customHeight="false" outlineLevel="0" collapsed="false">
      <c r="A87" s="56" t="n">
        <v>44190</v>
      </c>
      <c r="B87" s="57" t="n">
        <v>76770</v>
      </c>
      <c r="C87" s="57" t="s">
        <v>31</v>
      </c>
      <c r="D87" s="58" t="n">
        <v>-39.55</v>
      </c>
      <c r="E87" s="58" t="n">
        <v>39.55</v>
      </c>
      <c r="F87" s="58" t="n">
        <v>0</v>
      </c>
      <c r="G87" s="58" t="n">
        <v>2472.68</v>
      </c>
      <c r="J87" s="5" t="n">
        <f aca="false">+J86+D87</f>
        <v>2472.68</v>
      </c>
    </row>
    <row r="88" customFormat="false" ht="15" hidden="false" customHeight="false" outlineLevel="0" collapsed="false">
      <c r="A88" s="56" t="n">
        <v>44192</v>
      </c>
      <c r="B88" s="57" t="n">
        <v>89200</v>
      </c>
      <c r="C88" s="57" t="s">
        <v>32</v>
      </c>
      <c r="D88" s="58" t="n">
        <v>-161.95</v>
      </c>
      <c r="E88" s="58" t="n">
        <v>161.95</v>
      </c>
      <c r="F88" s="58" t="n">
        <v>0</v>
      </c>
      <c r="G88" s="58" t="n">
        <v>2310.73</v>
      </c>
      <c r="J88" s="5" t="n">
        <f aca="false">+J87+D88</f>
        <v>2310.73</v>
      </c>
    </row>
    <row r="89" customFormat="false" ht="15" hidden="false" customHeight="false" outlineLevel="0" collapsed="false">
      <c r="A89" s="53" t="n">
        <v>44192</v>
      </c>
      <c r="B89" s="54" t="n">
        <v>89234</v>
      </c>
      <c r="C89" s="54" t="s">
        <v>9</v>
      </c>
      <c r="D89" s="55" t="n">
        <v>-1000</v>
      </c>
      <c r="E89" s="55" t="n">
        <v>1000</v>
      </c>
      <c r="F89" s="55" t="n">
        <v>0</v>
      </c>
      <c r="G89" s="55" t="n">
        <v>1310.73</v>
      </c>
      <c r="J89" s="5" t="n">
        <f aca="false">+J88+D89</f>
        <v>1310.73</v>
      </c>
    </row>
    <row r="90" customFormat="false" ht="15" hidden="false" customHeight="false" outlineLevel="0" collapsed="false">
      <c r="A90" s="50" t="n">
        <v>44195</v>
      </c>
      <c r="B90" s="51" t="n">
        <v>1010206</v>
      </c>
      <c r="C90" s="51" t="s">
        <v>11</v>
      </c>
      <c r="D90" s="52" t="n">
        <v>944.32</v>
      </c>
      <c r="E90" s="52" t="n">
        <v>0</v>
      </c>
      <c r="F90" s="52" t="n">
        <v>944.32</v>
      </c>
      <c r="G90" s="52" t="n">
        <v>2255.05</v>
      </c>
      <c r="J90" s="5" t="n">
        <f aca="false">+J89+D90</f>
        <v>2255.05</v>
      </c>
    </row>
    <row r="91" customFormat="false" ht="15" hidden="false" customHeight="false" outlineLevel="0" collapsed="false">
      <c r="A91" s="50" t="n">
        <v>44195</v>
      </c>
      <c r="B91" s="51" t="n">
        <v>1010235</v>
      </c>
      <c r="C91" s="51" t="s">
        <v>11</v>
      </c>
      <c r="D91" s="52" t="n">
        <v>1335.6</v>
      </c>
      <c r="E91" s="52" t="n">
        <v>0</v>
      </c>
      <c r="F91" s="52" t="n">
        <v>1335.6</v>
      </c>
      <c r="G91" s="52" t="n">
        <v>3590.65</v>
      </c>
      <c r="J91" s="5" t="n">
        <f aca="false">+J90+D91</f>
        <v>3590.65</v>
      </c>
    </row>
    <row r="92" customFormat="false" ht="15" hidden="false" customHeight="false" outlineLevel="0" collapsed="false">
      <c r="A92" s="56" t="n">
        <v>44196</v>
      </c>
      <c r="B92" s="57" t="n">
        <v>183349</v>
      </c>
      <c r="C92" s="57" t="s">
        <v>18</v>
      </c>
      <c r="D92" s="58" t="n">
        <v>-1350</v>
      </c>
      <c r="E92" s="58" t="n">
        <v>1350</v>
      </c>
      <c r="F92" s="58" t="n">
        <v>0</v>
      </c>
      <c r="G92" s="58" t="n">
        <v>2240.65</v>
      </c>
      <c r="J92" s="5" t="n">
        <f aca="false">+J91+D92</f>
        <v>2240.65</v>
      </c>
    </row>
    <row r="93" customFormat="false" ht="15" hidden="false" customHeight="false" outlineLevel="0" collapsed="false">
      <c r="A93" s="59" t="n">
        <v>44196</v>
      </c>
      <c r="B93" s="60" t="n">
        <v>97924399</v>
      </c>
      <c r="C93" s="60" t="s">
        <v>21</v>
      </c>
      <c r="D93" s="61" t="n">
        <v>-169.8</v>
      </c>
      <c r="E93" s="61" t="n">
        <v>169.8</v>
      </c>
      <c r="F93" s="61" t="n">
        <v>0</v>
      </c>
      <c r="G93" s="61" t="n">
        <v>2070.85</v>
      </c>
      <c r="J93" s="5" t="n">
        <f aca="false">+J92+D93</f>
        <v>2070.85</v>
      </c>
    </row>
    <row r="94" customFormat="false" ht="18.75" hidden="false" customHeight="false" outlineLevel="0" collapsed="false">
      <c r="A94" s="62" t="n">
        <v>44196</v>
      </c>
      <c r="B94" s="63" t="n">
        <v>1739731</v>
      </c>
      <c r="C94" s="63" t="s">
        <v>33</v>
      </c>
      <c r="D94" s="64" t="n">
        <v>-1500</v>
      </c>
      <c r="E94" s="64" t="n">
        <v>1500</v>
      </c>
      <c r="F94" s="64" t="n">
        <v>0</v>
      </c>
      <c r="G94" s="64" t="n">
        <v>570.85</v>
      </c>
      <c r="J94" s="26" t="n">
        <f aca="false">+J93+D94</f>
        <v>570.849999999999</v>
      </c>
    </row>
  </sheetData>
  <autoFilter ref="A1:G60"/>
  <printOptions headings="false" gridLines="false" gridLinesSet="true" horizontalCentered="false" verticalCentered="false"/>
  <pageMargins left="0.7" right="0.7" top="0.75" bottom="0.75" header="0.511805555555555" footer="0.511805555555555"/>
  <pageSetup paperSize="5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96"/>
  <sheetViews>
    <sheetView showFormulas="false" showGridLines="true" showRowColHeaders="true" showZeros="true" rightToLeft="false" tabSelected="false" showOutlineSymbols="true" defaultGridColor="true" view="normal" topLeftCell="A76" colorId="64" zoomScale="80" zoomScaleNormal="80" zoomScalePageLayoutView="100" workbookViewId="0">
      <selection pane="topLeft" activeCell="D91" activeCellId="0" sqref="D91"/>
    </sheetView>
  </sheetViews>
  <sheetFormatPr defaultColWidth="12.14453125" defaultRowHeight="15" zeroHeight="false" outlineLevelRow="0" outlineLevelCol="0"/>
  <cols>
    <col collapsed="false" customWidth="true" hidden="false" outlineLevel="0" max="1" min="1" style="65" width="10.71"/>
    <col collapsed="false" customWidth="true" hidden="false" outlineLevel="0" max="2" min="2" style="66" width="10.71"/>
    <col collapsed="false" customWidth="true" hidden="false" outlineLevel="0" max="3" min="3" style="66" width="11.14"/>
    <col collapsed="false" customWidth="true" hidden="false" outlineLevel="0" max="4" min="4" style="67" width="106.24"/>
    <col collapsed="false" customWidth="true" hidden="false" outlineLevel="0" max="5" min="5" style="68" width="13.28"/>
    <col collapsed="false" customWidth="true" hidden="false" outlineLevel="0" max="6" min="6" style="68" width="20.14"/>
    <col collapsed="false" customWidth="true" hidden="false" outlineLevel="0" max="7" min="7" style="0" width="69"/>
    <col collapsed="false" customWidth="false" hidden="false" outlineLevel="0" max="8" min="8" style="69" width="12.14"/>
  </cols>
  <sheetData>
    <row r="1" s="70" customFormat="true" ht="21" hidden="false" customHeight="false" outlineLevel="0" collapsed="false">
      <c r="A1" s="70" t="s">
        <v>34</v>
      </c>
      <c r="B1" s="70" t="s">
        <v>35</v>
      </c>
      <c r="C1" s="70" t="s">
        <v>36</v>
      </c>
      <c r="D1" s="71" t="s">
        <v>37</v>
      </c>
      <c r="E1" s="72" t="s">
        <v>38</v>
      </c>
      <c r="F1" s="72" t="s">
        <v>39</v>
      </c>
      <c r="G1" s="70" t="s">
        <v>40</v>
      </c>
      <c r="H1" s="73"/>
    </row>
    <row r="2" customFormat="false" ht="18.75" hidden="false" customHeight="false" outlineLevel="0" collapsed="false">
      <c r="A2" s="74" t="n">
        <v>44150</v>
      </c>
      <c r="B2" s="75" t="str">
        <f aca="false">+TEXT(A2,"MMMM")</f>
        <v>noviembre</v>
      </c>
      <c r="C2" s="66" t="s">
        <v>41</v>
      </c>
      <c r="D2" s="67" t="s">
        <v>42</v>
      </c>
      <c r="E2" s="68" t="n">
        <v>912.32</v>
      </c>
      <c r="F2" s="26" t="n">
        <f aca="false">+E2</f>
        <v>912.32</v>
      </c>
    </row>
    <row r="3" customFormat="false" ht="15" hidden="false" customHeight="false" outlineLevel="0" collapsed="false">
      <c r="A3" s="74" t="n">
        <v>44151</v>
      </c>
      <c r="B3" s="75" t="str">
        <f aca="false">+TEXT(A3,"MMMM")</f>
        <v>noviembre</v>
      </c>
      <c r="C3" s="76" t="s">
        <v>41</v>
      </c>
      <c r="D3" s="67" t="s">
        <v>43</v>
      </c>
      <c r="E3" s="68" t="n">
        <v>2504.25</v>
      </c>
      <c r="F3" s="68" t="n">
        <f aca="false">+F2+E3</f>
        <v>3416.57</v>
      </c>
    </row>
    <row r="4" customFormat="false" ht="60" hidden="false" customHeight="false" outlineLevel="0" collapsed="false">
      <c r="A4" s="74" t="n">
        <v>44152</v>
      </c>
      <c r="B4" s="75" t="str">
        <f aca="false">+TEXT(A4,"MMMM")</f>
        <v>noviembre</v>
      </c>
      <c r="C4" s="76" t="s">
        <v>44</v>
      </c>
      <c r="D4" s="77" t="s">
        <v>45</v>
      </c>
      <c r="E4" s="68" t="n">
        <v>-1000</v>
      </c>
      <c r="F4" s="68" t="n">
        <f aca="false">+F3+E4</f>
        <v>2416.57</v>
      </c>
      <c r="G4" s="78" t="s">
        <v>46</v>
      </c>
    </row>
    <row r="5" customFormat="false" ht="15" hidden="false" customHeight="false" outlineLevel="0" collapsed="false">
      <c r="A5" s="74" t="n">
        <v>44152</v>
      </c>
      <c r="B5" s="75" t="str">
        <f aca="false">+TEXT(A5,"MMMM")</f>
        <v>noviembre</v>
      </c>
      <c r="C5" s="76" t="s">
        <v>44</v>
      </c>
      <c r="D5" s="67" t="s">
        <v>47</v>
      </c>
      <c r="E5" s="68" t="n">
        <v>-13</v>
      </c>
      <c r="F5" s="68" t="n">
        <f aca="false">+F4+E5</f>
        <v>2403.57</v>
      </c>
    </row>
    <row r="6" customFormat="false" ht="15" hidden="false" customHeight="false" outlineLevel="0" collapsed="false">
      <c r="A6" s="74" t="n">
        <v>44152</v>
      </c>
      <c r="B6" s="75" t="str">
        <f aca="false">+TEXT(A6,"MMMM")</f>
        <v>noviembre</v>
      </c>
      <c r="C6" s="76" t="s">
        <v>44</v>
      </c>
      <c r="D6" s="67" t="s">
        <v>48</v>
      </c>
      <c r="E6" s="68" t="n">
        <v>-500</v>
      </c>
      <c r="F6" s="68" t="n">
        <f aca="false">+F5+E6</f>
        <v>1903.57</v>
      </c>
    </row>
    <row r="7" customFormat="false" ht="75" hidden="false" customHeight="false" outlineLevel="0" collapsed="false">
      <c r="A7" s="74" t="n">
        <v>44156</v>
      </c>
      <c r="B7" s="66" t="str">
        <f aca="false">+TEXT(A7,"MMMM")</f>
        <v>noviembre</v>
      </c>
      <c r="C7" s="76" t="s">
        <v>44</v>
      </c>
      <c r="D7" s="77" t="s">
        <v>49</v>
      </c>
      <c r="E7" s="68" t="n">
        <v>-89.45</v>
      </c>
      <c r="F7" s="68" t="n">
        <f aca="false">+F6+E7</f>
        <v>1814.12</v>
      </c>
    </row>
    <row r="8" customFormat="false" ht="15" hidden="false" customHeight="false" outlineLevel="0" collapsed="false">
      <c r="A8" s="74" t="n">
        <v>44160</v>
      </c>
      <c r="B8" s="66" t="str">
        <f aca="false">+TEXT(A8,"MMMM")</f>
        <v>noviembre</v>
      </c>
      <c r="C8" s="76" t="s">
        <v>44</v>
      </c>
      <c r="D8" s="77" t="s">
        <v>50</v>
      </c>
      <c r="E8" s="68" t="n">
        <v>-100</v>
      </c>
      <c r="F8" s="68" t="n">
        <f aca="false">+F7+E8</f>
        <v>1714.12</v>
      </c>
    </row>
    <row r="9" customFormat="false" ht="15" hidden="false" customHeight="false" outlineLevel="0" collapsed="false">
      <c r="A9" s="74" t="n">
        <v>44160</v>
      </c>
      <c r="B9" s="66" t="str">
        <f aca="false">+TEXT(A9,"MMMM")</f>
        <v>noviembre</v>
      </c>
      <c r="C9" s="76" t="s">
        <v>44</v>
      </c>
      <c r="D9" s="77" t="s">
        <v>51</v>
      </c>
      <c r="E9" s="68" t="n">
        <v>-199.34</v>
      </c>
      <c r="F9" s="68" t="n">
        <f aca="false">+F8+E9</f>
        <v>1514.78</v>
      </c>
    </row>
    <row r="10" customFormat="false" ht="15" hidden="false" customHeight="false" outlineLevel="0" collapsed="false">
      <c r="A10" s="74" t="n">
        <v>44163</v>
      </c>
      <c r="B10" s="66" t="str">
        <f aca="false">+TEXT(A10,"MMMM")</f>
        <v>noviembre</v>
      </c>
      <c r="C10" s="76" t="s">
        <v>44</v>
      </c>
      <c r="D10" s="77" t="s">
        <v>52</v>
      </c>
      <c r="E10" s="68" t="n">
        <v>-224</v>
      </c>
      <c r="F10" s="68" t="n">
        <f aca="false">+F9+E10</f>
        <v>1290.78</v>
      </c>
    </row>
    <row r="11" customFormat="false" ht="15" hidden="false" customHeight="false" outlineLevel="0" collapsed="false">
      <c r="A11" s="74" t="n">
        <v>44163</v>
      </c>
      <c r="B11" s="66" t="str">
        <f aca="false">+TEXT(A11,"MMMM")</f>
        <v>noviembre</v>
      </c>
      <c r="C11" s="76" t="s">
        <v>44</v>
      </c>
      <c r="D11" s="77" t="s">
        <v>53</v>
      </c>
      <c r="E11" s="68" t="n">
        <v>-95</v>
      </c>
      <c r="F11" s="68" t="n">
        <f aca="false">+F10+E11</f>
        <v>1195.78</v>
      </c>
    </row>
    <row r="12" customFormat="false" ht="15" hidden="false" customHeight="false" outlineLevel="0" collapsed="false">
      <c r="A12" s="74" t="n">
        <v>44165</v>
      </c>
      <c r="B12" s="66" t="str">
        <f aca="false">+TEXT(A12,"MMMM")</f>
        <v>noviembre</v>
      </c>
      <c r="C12" s="76" t="s">
        <v>44</v>
      </c>
      <c r="D12" s="77" t="s">
        <v>54</v>
      </c>
      <c r="E12" s="68" t="n">
        <v>-183.53</v>
      </c>
      <c r="F12" s="68" t="n">
        <f aca="false">+F11+E12</f>
        <v>1012.25</v>
      </c>
    </row>
    <row r="13" customFormat="false" ht="15" hidden="false" customHeight="false" outlineLevel="0" collapsed="false">
      <c r="A13" s="74" t="n">
        <v>44165</v>
      </c>
      <c r="B13" s="75" t="str">
        <f aca="false">+TEXT(A13,"MMMM")</f>
        <v>noviembre</v>
      </c>
      <c r="C13" s="76" t="s">
        <v>41</v>
      </c>
      <c r="D13" s="67" t="s">
        <v>43</v>
      </c>
      <c r="E13" s="68" t="n">
        <v>3739.92</v>
      </c>
      <c r="F13" s="68" t="n">
        <f aca="false">+F12+E13</f>
        <v>4752.17</v>
      </c>
    </row>
    <row r="14" customFormat="false" ht="18.75" hidden="false" customHeight="false" outlineLevel="0" collapsed="false">
      <c r="A14" s="74" t="n">
        <v>44165</v>
      </c>
      <c r="B14" s="66" t="str">
        <f aca="false">+TEXT(A14,"MMMM")</f>
        <v>noviembre</v>
      </c>
      <c r="C14" s="76" t="s">
        <v>44</v>
      </c>
      <c r="D14" s="77" t="s">
        <v>55</v>
      </c>
      <c r="E14" s="68" t="n">
        <v>-1350</v>
      </c>
      <c r="F14" s="26" t="n">
        <f aca="false">+F13+E14</f>
        <v>3402.17</v>
      </c>
      <c r="K14" s="79"/>
    </row>
    <row r="15" customFormat="false" ht="105" hidden="false" customHeight="false" outlineLevel="0" collapsed="false">
      <c r="A15" s="74" t="n">
        <v>44166</v>
      </c>
      <c r="B15" s="66" t="str">
        <f aca="false">+TEXT(A15,"MMMM")</f>
        <v>diciembre</v>
      </c>
      <c r="C15" s="76" t="s">
        <v>44</v>
      </c>
      <c r="D15" s="77" t="s">
        <v>56</v>
      </c>
      <c r="E15" s="68" t="n">
        <v>-1000</v>
      </c>
      <c r="F15" s="68" t="n">
        <f aca="false">+F14+E15</f>
        <v>2402.17</v>
      </c>
      <c r="G15" s="80" t="s">
        <v>57</v>
      </c>
    </row>
    <row r="16" customFormat="false" ht="15" hidden="false" customHeight="false" outlineLevel="0" collapsed="false">
      <c r="A16" s="74" t="n">
        <v>44168</v>
      </c>
      <c r="B16" s="66" t="str">
        <f aca="false">+TEXT(A16,"MMMM")</f>
        <v>diciembre</v>
      </c>
      <c r="C16" s="76" t="s">
        <v>44</v>
      </c>
      <c r="D16" s="67" t="s">
        <v>48</v>
      </c>
      <c r="E16" s="68" t="n">
        <v>-373</v>
      </c>
      <c r="F16" s="68" t="n">
        <f aca="false">+F15+E16</f>
        <v>2029.17</v>
      </c>
    </row>
    <row r="17" customFormat="false" ht="15" hidden="false" customHeight="false" outlineLevel="0" collapsed="false">
      <c r="A17" s="74" t="n">
        <v>44174</v>
      </c>
      <c r="B17" s="66" t="str">
        <f aca="false">+TEXT(A17,"MMMM")</f>
        <v>diciembre</v>
      </c>
      <c r="C17" s="76" t="s">
        <v>44</v>
      </c>
      <c r="D17" s="77" t="s">
        <v>58</v>
      </c>
      <c r="E17" s="68" t="n">
        <v>-26.5</v>
      </c>
      <c r="F17" s="68" t="n">
        <f aca="false">+F16+E17</f>
        <v>2002.67</v>
      </c>
    </row>
    <row r="18" customFormat="false" ht="135" hidden="false" customHeight="false" outlineLevel="0" collapsed="false">
      <c r="A18" s="74" t="n">
        <v>44174</v>
      </c>
      <c r="B18" s="66" t="str">
        <f aca="false">+TEXT(A18,"MMMM")</f>
        <v>diciembre</v>
      </c>
      <c r="C18" s="76" t="s">
        <v>44</v>
      </c>
      <c r="D18" s="77" t="s">
        <v>59</v>
      </c>
      <c r="E18" s="68" t="n">
        <v>-700</v>
      </c>
      <c r="F18" s="68" t="n">
        <f aca="false">+F17+E18</f>
        <v>1302.67</v>
      </c>
      <c r="G18" s="80" t="s">
        <v>60</v>
      </c>
    </row>
    <row r="19" customFormat="false" ht="15" hidden="false" customHeight="false" outlineLevel="0" collapsed="false">
      <c r="A19" s="74" t="n">
        <v>44180</v>
      </c>
      <c r="B19" s="66" t="str">
        <f aca="false">+TEXT(A19,"MMMM")</f>
        <v>diciembre</v>
      </c>
      <c r="C19" s="76" t="s">
        <v>41</v>
      </c>
      <c r="D19" s="77" t="s">
        <v>43</v>
      </c>
      <c r="E19" s="68" t="n">
        <v>2504.25</v>
      </c>
      <c r="F19" s="68" t="n">
        <f aca="false">+F18+E19</f>
        <v>3806.92</v>
      </c>
    </row>
    <row r="20" customFormat="false" ht="75" hidden="false" customHeight="false" outlineLevel="0" collapsed="false">
      <c r="A20" s="74" t="n">
        <v>44181</v>
      </c>
      <c r="B20" s="66" t="str">
        <f aca="false">+TEXT(A20,"MMMM")</f>
        <v>diciembre</v>
      </c>
      <c r="C20" s="76" t="s">
        <v>44</v>
      </c>
      <c r="D20" s="77" t="s">
        <v>61</v>
      </c>
      <c r="E20" s="68" t="n">
        <v>-1000</v>
      </c>
      <c r="F20" s="68" t="n">
        <f aca="false">+F19+E20</f>
        <v>2806.92</v>
      </c>
      <c r="G20" s="80" t="s">
        <v>62</v>
      </c>
    </row>
    <row r="21" customFormat="false" ht="15" hidden="false" customHeight="false" outlineLevel="0" collapsed="false">
      <c r="A21" s="74" t="n">
        <v>44183</v>
      </c>
      <c r="B21" s="66" t="str">
        <f aca="false">+TEXT(A21,"MMMM")</f>
        <v>diciembre</v>
      </c>
      <c r="C21" s="76" t="s">
        <v>44</v>
      </c>
      <c r="D21" s="77" t="s">
        <v>63</v>
      </c>
      <c r="E21" s="68" t="n">
        <v>-145.05</v>
      </c>
      <c r="F21" s="68" t="n">
        <f aca="false">+F20+E21</f>
        <v>2661.87</v>
      </c>
    </row>
    <row r="22" customFormat="false" ht="15" hidden="false" customHeight="false" outlineLevel="0" collapsed="false">
      <c r="A22" s="74" t="n">
        <v>44183</v>
      </c>
      <c r="B22" s="66" t="str">
        <f aca="false">+TEXT(A22,"MMMM")</f>
        <v>diciembre</v>
      </c>
      <c r="C22" s="76" t="s">
        <v>44</v>
      </c>
      <c r="D22" s="77" t="s">
        <v>64</v>
      </c>
      <c r="E22" s="68" t="n">
        <v>-163.7</v>
      </c>
      <c r="F22" s="68" t="n">
        <f aca="false">+F21+E22</f>
        <v>2498.17</v>
      </c>
    </row>
    <row r="23" customFormat="false" ht="15" hidden="false" customHeight="false" outlineLevel="0" collapsed="false">
      <c r="A23" s="74" t="n">
        <v>44187</v>
      </c>
      <c r="B23" s="66" t="str">
        <f aca="false">+TEXT(A23,"MMMM")</f>
        <v>diciembre</v>
      </c>
      <c r="C23" s="76" t="s">
        <v>41</v>
      </c>
      <c r="D23" s="77" t="s">
        <v>65</v>
      </c>
      <c r="E23" s="68" t="n">
        <v>2123.06</v>
      </c>
      <c r="F23" s="68" t="n">
        <f aca="false">+F22+E23</f>
        <v>4621.23</v>
      </c>
    </row>
    <row r="24" customFormat="false" ht="15" hidden="false" customHeight="false" outlineLevel="0" collapsed="false">
      <c r="A24" s="74" t="n">
        <v>44189</v>
      </c>
      <c r="B24" s="66" t="str">
        <f aca="false">+TEXT(A24,"MMMM")</f>
        <v>diciembre</v>
      </c>
      <c r="C24" s="76" t="s">
        <v>44</v>
      </c>
      <c r="D24" s="77" t="s">
        <v>52</v>
      </c>
      <c r="E24" s="68" t="n">
        <v>-224</v>
      </c>
      <c r="F24" s="68" t="n">
        <f aca="false">+F23+E24</f>
        <v>4397.23</v>
      </c>
    </row>
    <row r="25" customFormat="false" ht="30" hidden="false" customHeight="false" outlineLevel="0" collapsed="false">
      <c r="A25" s="74" t="n">
        <v>44189</v>
      </c>
      <c r="B25" s="66" t="str">
        <f aca="false">+TEXT(A25,"MMMM")</f>
        <v>diciembre</v>
      </c>
      <c r="C25" s="76" t="s">
        <v>44</v>
      </c>
      <c r="D25" s="77" t="s">
        <v>48</v>
      </c>
      <c r="E25" s="68" t="n">
        <v>-460</v>
      </c>
      <c r="F25" s="68" t="n">
        <f aca="false">+F24+E25</f>
        <v>3937.23</v>
      </c>
    </row>
    <row r="26" customFormat="false" ht="45" hidden="false" customHeight="false" outlineLevel="0" collapsed="false">
      <c r="A26" s="74" t="n">
        <v>44189</v>
      </c>
      <c r="B26" s="66" t="str">
        <f aca="false">+TEXT(A26,"MMMM")</f>
        <v>diciembre</v>
      </c>
      <c r="C26" s="76" t="s">
        <v>44</v>
      </c>
      <c r="D26" s="77" t="s">
        <v>66</v>
      </c>
      <c r="E26" s="68" t="n">
        <v>-1319</v>
      </c>
      <c r="F26" s="68" t="n">
        <f aca="false">+F25+E26</f>
        <v>2618.23</v>
      </c>
      <c r="G26" s="80" t="s">
        <v>67</v>
      </c>
    </row>
    <row r="27" customFormat="false" ht="30" hidden="false" customHeight="false" outlineLevel="0" collapsed="false">
      <c r="A27" s="74" t="n">
        <v>44189</v>
      </c>
      <c r="B27" s="66" t="str">
        <f aca="false">+TEXT(A27,"MMMM")</f>
        <v>diciembre</v>
      </c>
      <c r="C27" s="76" t="s">
        <v>44</v>
      </c>
      <c r="D27" s="77" t="s">
        <v>68</v>
      </c>
      <c r="E27" s="68" t="n">
        <v>-106</v>
      </c>
      <c r="F27" s="68" t="n">
        <f aca="false">+F26+E27</f>
        <v>2512.23</v>
      </c>
    </row>
    <row r="28" customFormat="false" ht="30" hidden="false" customHeight="false" outlineLevel="0" collapsed="false">
      <c r="A28" s="74" t="n">
        <v>44190</v>
      </c>
      <c r="B28" s="66" t="str">
        <f aca="false">+TEXT(A28,"MMMM")</f>
        <v>diciembre</v>
      </c>
      <c r="C28" s="76" t="s">
        <v>44</v>
      </c>
      <c r="D28" s="77" t="s">
        <v>69</v>
      </c>
      <c r="E28" s="68" t="n">
        <v>-39.55</v>
      </c>
      <c r="F28" s="68" t="n">
        <f aca="false">+F27+E28</f>
        <v>2472.68</v>
      </c>
    </row>
    <row r="29" customFormat="false" ht="30" hidden="false" customHeight="false" outlineLevel="0" collapsed="false">
      <c r="A29" s="74" t="n">
        <v>44192</v>
      </c>
      <c r="B29" s="66" t="str">
        <f aca="false">+TEXT(A29,"MMMM")</f>
        <v>diciembre</v>
      </c>
      <c r="C29" s="76" t="s">
        <v>44</v>
      </c>
      <c r="D29" s="77" t="s">
        <v>70</v>
      </c>
      <c r="E29" s="68" t="n">
        <v>-161.95</v>
      </c>
      <c r="F29" s="68" t="n">
        <f aca="false">+F28+E29</f>
        <v>2310.73</v>
      </c>
    </row>
    <row r="30" customFormat="false" ht="60" hidden="false" customHeight="false" outlineLevel="0" collapsed="false">
      <c r="A30" s="74" t="n">
        <v>44192</v>
      </c>
      <c r="B30" s="66" t="str">
        <f aca="false">+TEXT(A30,"MMMM")</f>
        <v>diciembre</v>
      </c>
      <c r="C30" s="76" t="s">
        <v>44</v>
      </c>
      <c r="D30" s="77" t="s">
        <v>71</v>
      </c>
      <c r="E30" s="68" t="n">
        <v>-1000</v>
      </c>
      <c r="F30" s="68" t="n">
        <f aca="false">+F29+E30</f>
        <v>1310.73</v>
      </c>
    </row>
    <row r="31" customFormat="false" ht="15" hidden="false" customHeight="false" outlineLevel="0" collapsed="false">
      <c r="A31" s="74" t="n">
        <v>44195</v>
      </c>
      <c r="B31" s="66" t="str">
        <f aca="false">+TEXT(A31,"MMMM")</f>
        <v>diciembre</v>
      </c>
      <c r="C31" s="76" t="s">
        <v>41</v>
      </c>
      <c r="D31" s="77" t="s">
        <v>43</v>
      </c>
      <c r="E31" s="68" t="n">
        <v>944.32</v>
      </c>
      <c r="F31" s="68" t="n">
        <f aca="false">+F30+E31</f>
        <v>2255.05</v>
      </c>
    </row>
    <row r="32" customFormat="false" ht="15" hidden="false" customHeight="false" outlineLevel="0" collapsed="false">
      <c r="A32" s="74" t="n">
        <v>44195</v>
      </c>
      <c r="B32" s="66" t="str">
        <f aca="false">+TEXT(A32,"MMMM")</f>
        <v>diciembre</v>
      </c>
      <c r="C32" s="76" t="s">
        <v>41</v>
      </c>
      <c r="D32" s="77" t="s">
        <v>43</v>
      </c>
      <c r="E32" s="68" t="n">
        <v>1335.6</v>
      </c>
      <c r="F32" s="68" t="n">
        <f aca="false">+F31+E32</f>
        <v>3590.65</v>
      </c>
    </row>
    <row r="33" customFormat="false" ht="15" hidden="false" customHeight="false" outlineLevel="0" collapsed="false">
      <c r="A33" s="74" t="n">
        <v>44196</v>
      </c>
      <c r="B33" s="66" t="str">
        <f aca="false">+TEXT(A33,"MMMM")</f>
        <v>diciembre</v>
      </c>
      <c r="C33" s="76" t="s">
        <v>44</v>
      </c>
      <c r="D33" s="77" t="s">
        <v>72</v>
      </c>
      <c r="E33" s="68" t="n">
        <v>-1350</v>
      </c>
      <c r="F33" s="68" t="n">
        <f aca="false">+F32+E33</f>
        <v>2240.65</v>
      </c>
    </row>
    <row r="34" customFormat="false" ht="30" hidden="false" customHeight="false" outlineLevel="0" collapsed="false">
      <c r="A34" s="74" t="n">
        <v>44196</v>
      </c>
      <c r="B34" s="66" t="str">
        <f aca="false">+TEXT(A34,"MMMM")</f>
        <v>diciembre</v>
      </c>
      <c r="C34" s="76" t="s">
        <v>44</v>
      </c>
      <c r="D34" s="77" t="s">
        <v>73</v>
      </c>
      <c r="E34" s="68" t="n">
        <v>-169.8</v>
      </c>
      <c r="F34" s="68" t="n">
        <f aca="false">+F33+E34</f>
        <v>2070.85</v>
      </c>
    </row>
    <row r="35" customFormat="false" ht="30" hidden="false" customHeight="false" outlineLevel="0" collapsed="false">
      <c r="A35" s="74" t="n">
        <v>44196</v>
      </c>
      <c r="B35" s="66" t="str">
        <f aca="false">+TEXT(A35,"MMMM")</f>
        <v>diciembre</v>
      </c>
      <c r="C35" s="76" t="s">
        <v>44</v>
      </c>
      <c r="D35" s="77" t="s">
        <v>74</v>
      </c>
      <c r="E35" s="68" t="n">
        <v>-1500</v>
      </c>
      <c r="F35" s="26" t="n">
        <f aca="false">+F34+E35</f>
        <v>570.849999999999</v>
      </c>
      <c r="G35" s="81" t="n">
        <v>1500</v>
      </c>
    </row>
    <row r="36" customFormat="false" ht="23.25" hidden="false" customHeight="false" outlineLevel="0" collapsed="false">
      <c r="A36" s="74" t="n">
        <v>44202</v>
      </c>
      <c r="B36" s="66" t="str">
        <f aca="false">+TEXT(A36,"MMMM")</f>
        <v>enero</v>
      </c>
      <c r="C36" s="76" t="s">
        <v>44</v>
      </c>
      <c r="D36" s="77" t="s">
        <v>75</v>
      </c>
      <c r="E36" s="68" t="n">
        <v>-95.5</v>
      </c>
      <c r="F36" s="68" t="n">
        <f aca="false">+F35+E36</f>
        <v>475.349999999999</v>
      </c>
      <c r="G36" s="81"/>
    </row>
    <row r="37" customFormat="false" ht="23.25" hidden="false" customHeight="false" outlineLevel="0" collapsed="false">
      <c r="A37" s="74" t="n">
        <v>44204</v>
      </c>
      <c r="B37" s="66" t="str">
        <f aca="false">+TEXT(A37,"MMMM")</f>
        <v>enero</v>
      </c>
      <c r="C37" s="76" t="s">
        <v>44</v>
      </c>
      <c r="D37" s="77" t="s">
        <v>76</v>
      </c>
      <c r="E37" s="68" t="n">
        <v>-100</v>
      </c>
      <c r="F37" s="68" t="n">
        <f aca="false">+F36+E37</f>
        <v>375.349999999999</v>
      </c>
      <c r="G37" s="81"/>
    </row>
    <row r="38" customFormat="false" ht="15" hidden="false" customHeight="false" outlineLevel="0" collapsed="false">
      <c r="A38" s="74" t="n">
        <v>44211</v>
      </c>
      <c r="B38" s="66" t="str">
        <f aca="false">+TEXT(A38,"MMMM")</f>
        <v>enero</v>
      </c>
      <c r="C38" s="76" t="s">
        <v>41</v>
      </c>
      <c r="D38" s="77" t="s">
        <v>43</v>
      </c>
      <c r="E38" s="68" t="n">
        <v>3039.58</v>
      </c>
      <c r="F38" s="68" t="n">
        <f aca="false">+F37+E38</f>
        <v>3414.93</v>
      </c>
    </row>
    <row r="39" customFormat="false" ht="30" hidden="false" customHeight="false" outlineLevel="0" collapsed="false">
      <c r="A39" s="74" t="n">
        <v>44212</v>
      </c>
      <c r="B39" s="66" t="str">
        <f aca="false">+TEXT(A39,"MMMM")</f>
        <v>enero</v>
      </c>
      <c r="C39" s="76" t="s">
        <v>44</v>
      </c>
      <c r="D39" s="77" t="s">
        <v>77</v>
      </c>
      <c r="E39" s="68" t="n">
        <v>-66</v>
      </c>
      <c r="F39" s="68" t="n">
        <f aca="false">+F38+E39</f>
        <v>3348.93</v>
      </c>
    </row>
    <row r="40" customFormat="false" ht="30" hidden="false" customHeight="false" outlineLevel="0" collapsed="false">
      <c r="A40" s="74" t="n">
        <v>44212</v>
      </c>
      <c r="B40" s="66" t="str">
        <f aca="false">+TEXT(A40,"MMMM")</f>
        <v>enero</v>
      </c>
      <c r="C40" s="76" t="s">
        <v>44</v>
      </c>
      <c r="D40" s="77" t="s">
        <v>78</v>
      </c>
      <c r="E40" s="68" t="n">
        <v>-461.15</v>
      </c>
      <c r="F40" s="68" t="n">
        <f aca="false">+F39+E40</f>
        <v>2887.78</v>
      </c>
    </row>
    <row r="41" customFormat="false" ht="15" hidden="false" customHeight="false" outlineLevel="0" collapsed="false">
      <c r="A41" s="74" t="n">
        <v>44213</v>
      </c>
      <c r="B41" s="66" t="str">
        <f aca="false">+TEXT(A41,"MMMM")</f>
        <v>enero</v>
      </c>
      <c r="C41" s="76" t="s">
        <v>44</v>
      </c>
      <c r="D41" s="77" t="s">
        <v>79</v>
      </c>
      <c r="E41" s="68" t="n">
        <v>-200</v>
      </c>
      <c r="F41" s="68" t="n">
        <f aca="false">+F40+E41</f>
        <v>2687.78</v>
      </c>
    </row>
    <row r="42" customFormat="false" ht="30" hidden="false" customHeight="false" outlineLevel="0" collapsed="false">
      <c r="A42" s="74" t="n">
        <v>44214</v>
      </c>
      <c r="B42" s="66" t="str">
        <f aca="false">+TEXT(A42,"MMMM")</f>
        <v>enero</v>
      </c>
      <c r="C42" s="76" t="s">
        <v>44</v>
      </c>
      <c r="D42" s="77" t="s">
        <v>80</v>
      </c>
      <c r="E42" s="68" t="n">
        <v>-163.7</v>
      </c>
      <c r="F42" s="68" t="n">
        <f aca="false">+F41+E42</f>
        <v>2524.08</v>
      </c>
    </row>
    <row r="43" customFormat="false" ht="45" hidden="false" customHeight="true" outlineLevel="0" collapsed="false">
      <c r="A43" s="74" t="n">
        <v>44217</v>
      </c>
      <c r="B43" s="66" t="str">
        <f aca="false">+TEXT(A43,"MMMM")</f>
        <v>enero</v>
      </c>
      <c r="C43" s="76" t="s">
        <v>44</v>
      </c>
      <c r="D43" s="77" t="s">
        <v>81</v>
      </c>
      <c r="E43" s="68" t="n">
        <v>-600</v>
      </c>
      <c r="F43" s="68" t="n">
        <f aca="false">+F42+E43</f>
        <v>1924.08</v>
      </c>
      <c r="G43" s="82" t="s">
        <v>82</v>
      </c>
    </row>
    <row r="44" customFormat="false" ht="30" hidden="false" customHeight="false" outlineLevel="0" collapsed="false">
      <c r="A44" s="74" t="n">
        <v>44219</v>
      </c>
      <c r="B44" s="66" t="str">
        <f aca="false">+TEXT(A44,"MMMM")</f>
        <v>enero</v>
      </c>
      <c r="C44" s="76" t="s">
        <v>44</v>
      </c>
      <c r="D44" s="77" t="s">
        <v>83</v>
      </c>
      <c r="E44" s="68" t="n">
        <v>-27.54</v>
      </c>
      <c r="F44" s="68" t="n">
        <f aca="false">+F43+E44</f>
        <v>1896.54</v>
      </c>
      <c r="G44" s="82"/>
    </row>
    <row r="45" customFormat="false" ht="45" hidden="false" customHeight="false" outlineLevel="0" collapsed="false">
      <c r="A45" s="74" t="n">
        <v>44219</v>
      </c>
      <c r="B45" s="66" t="str">
        <f aca="false">+TEXT(A45,"MMMM")</f>
        <v>enero</v>
      </c>
      <c r="C45" s="76" t="s">
        <v>44</v>
      </c>
      <c r="D45" s="77" t="s">
        <v>84</v>
      </c>
      <c r="E45" s="68" t="n">
        <v>-100</v>
      </c>
      <c r="F45" s="68" t="n">
        <f aca="false">+F44+E45</f>
        <v>1796.54</v>
      </c>
      <c r="G45" s="82"/>
    </row>
    <row r="46" customFormat="false" ht="15" hidden="false" customHeight="false" outlineLevel="0" collapsed="false">
      <c r="A46" s="74" t="n">
        <v>44223</v>
      </c>
      <c r="B46" s="66" t="str">
        <f aca="false">+TEXT(A46,"MMMM")</f>
        <v>enero</v>
      </c>
      <c r="C46" s="76" t="s">
        <v>44</v>
      </c>
      <c r="D46" s="67" t="s">
        <v>48</v>
      </c>
      <c r="E46" s="68" t="n">
        <v>-228</v>
      </c>
      <c r="F46" s="68" t="n">
        <f aca="false">+F45+E46</f>
        <v>1568.54</v>
      </c>
    </row>
    <row r="47" customFormat="false" ht="15" hidden="false" customHeight="false" outlineLevel="0" collapsed="false">
      <c r="A47" s="74" t="n">
        <v>44223</v>
      </c>
      <c r="B47" s="66" t="str">
        <f aca="false">+TEXT(A47,"MMMM")</f>
        <v>enero</v>
      </c>
      <c r="C47" s="76" t="s">
        <v>44</v>
      </c>
      <c r="D47" s="67" t="s">
        <v>48</v>
      </c>
      <c r="E47" s="68" t="n">
        <v>-300</v>
      </c>
      <c r="F47" s="68" t="n">
        <f aca="false">+F46+E47</f>
        <v>1268.54</v>
      </c>
    </row>
    <row r="48" customFormat="false" ht="15" hidden="false" customHeight="false" outlineLevel="0" collapsed="false">
      <c r="A48" s="74" t="n">
        <v>44225</v>
      </c>
      <c r="B48" s="66" t="str">
        <f aca="false">+TEXT(A48,"MMMM")</f>
        <v>enero</v>
      </c>
      <c r="C48" s="76" t="s">
        <v>44</v>
      </c>
      <c r="D48" s="67" t="s">
        <v>85</v>
      </c>
      <c r="E48" s="68" t="n">
        <v>-100</v>
      </c>
      <c r="F48" s="68" t="n">
        <f aca="false">+F47+E48</f>
        <v>1168.54</v>
      </c>
    </row>
    <row r="49" customFormat="false" ht="15" hidden="false" customHeight="false" outlineLevel="0" collapsed="false">
      <c r="A49" s="74" t="n">
        <v>44225</v>
      </c>
      <c r="B49" s="66" t="str">
        <f aca="false">+TEXT(A49,"MMMM")</f>
        <v>enero</v>
      </c>
      <c r="C49" s="76" t="s">
        <v>44</v>
      </c>
      <c r="D49" s="67" t="s">
        <v>86</v>
      </c>
      <c r="E49" s="68" t="n">
        <v>-55.03</v>
      </c>
      <c r="F49" s="68" t="n">
        <f aca="false">+F48+E49</f>
        <v>1113.51</v>
      </c>
    </row>
    <row r="50" customFormat="false" ht="15" hidden="false" customHeight="false" outlineLevel="0" collapsed="false">
      <c r="A50" s="74" t="n">
        <v>44225</v>
      </c>
      <c r="B50" s="66" t="str">
        <f aca="false">+TEXT(A50,"MMMM")</f>
        <v>enero</v>
      </c>
      <c r="C50" s="76" t="s">
        <v>41</v>
      </c>
      <c r="D50" s="67" t="s">
        <v>43</v>
      </c>
      <c r="E50" s="68" t="n">
        <v>2504.25</v>
      </c>
      <c r="F50" s="68" t="n">
        <f aca="false">+F49+E50</f>
        <v>3617.76</v>
      </c>
    </row>
    <row r="51" customFormat="false" ht="15" hidden="false" customHeight="false" outlineLevel="0" collapsed="false">
      <c r="A51" s="74" t="n">
        <v>44225</v>
      </c>
      <c r="B51" s="66" t="str">
        <f aca="false">+TEXT(A51,"MMMM")</f>
        <v>enero</v>
      </c>
      <c r="C51" s="76" t="s">
        <v>44</v>
      </c>
      <c r="D51" s="67" t="s">
        <v>74</v>
      </c>
      <c r="E51" s="68" t="n">
        <v>-750</v>
      </c>
      <c r="F51" s="68" t="n">
        <f aca="false">+F50+E51</f>
        <v>2867.76</v>
      </c>
    </row>
    <row r="52" customFormat="false" ht="15" hidden="false" customHeight="false" outlineLevel="0" collapsed="false">
      <c r="A52" s="74" t="n">
        <v>44228</v>
      </c>
      <c r="B52" s="66" t="str">
        <f aca="false">+TEXT(A52,"MMMM")</f>
        <v>febrero</v>
      </c>
      <c r="C52" s="76" t="s">
        <v>44</v>
      </c>
      <c r="D52" s="67" t="s">
        <v>87</v>
      </c>
      <c r="E52" s="68" t="n">
        <v>-1350</v>
      </c>
      <c r="F52" s="68" t="n">
        <f aca="false">+F51+E52</f>
        <v>1517.76</v>
      </c>
    </row>
    <row r="53" customFormat="false" ht="15" hidden="false" customHeight="false" outlineLevel="0" collapsed="false">
      <c r="A53" s="74" t="n">
        <v>44228</v>
      </c>
      <c r="B53" s="66" t="str">
        <f aca="false">+TEXT(A53,"MMMM")</f>
        <v>febrero</v>
      </c>
      <c r="C53" s="76" t="s">
        <v>44</v>
      </c>
      <c r="D53" s="67" t="s">
        <v>88</v>
      </c>
      <c r="E53" s="68" t="n">
        <v>-224</v>
      </c>
      <c r="F53" s="68" t="n">
        <f aca="false">+F52+E53</f>
        <v>1293.76</v>
      </c>
    </row>
    <row r="54" customFormat="false" ht="15" hidden="false" customHeight="false" outlineLevel="0" collapsed="false">
      <c r="A54" s="74" t="n">
        <v>44228</v>
      </c>
      <c r="B54" s="66" t="str">
        <f aca="false">+TEXT(A54,"MMMM")</f>
        <v>febrero</v>
      </c>
      <c r="C54" s="76" t="s">
        <v>44</v>
      </c>
      <c r="D54" s="67" t="s">
        <v>89</v>
      </c>
      <c r="E54" s="68" t="n">
        <v>-156.07</v>
      </c>
      <c r="F54" s="68" t="n">
        <f aca="false">+F53+E54</f>
        <v>1137.69</v>
      </c>
    </row>
    <row r="55" customFormat="false" ht="15" hidden="false" customHeight="false" outlineLevel="0" collapsed="false">
      <c r="A55" s="74" t="n">
        <v>44228</v>
      </c>
      <c r="B55" s="66" t="str">
        <f aca="false">+TEXT(A55,"MMMM")</f>
        <v>febrero</v>
      </c>
      <c r="C55" s="76" t="s">
        <v>44</v>
      </c>
      <c r="D55" s="67" t="s">
        <v>48</v>
      </c>
      <c r="E55" s="68" t="n">
        <v>-250</v>
      </c>
      <c r="F55" s="68" t="n">
        <f aca="false">+F54+E55</f>
        <v>887.689999999999</v>
      </c>
    </row>
    <row r="56" customFormat="false" ht="60" hidden="false" customHeight="false" outlineLevel="0" collapsed="false">
      <c r="A56" s="74" t="n">
        <v>44230</v>
      </c>
      <c r="B56" s="66" t="str">
        <f aca="false">+TEXT(A56,"MMMM")</f>
        <v>febrero</v>
      </c>
      <c r="C56" s="76" t="s">
        <v>44</v>
      </c>
      <c r="D56" s="67" t="s">
        <v>90</v>
      </c>
      <c r="E56" s="68" t="n">
        <v>-800</v>
      </c>
      <c r="F56" s="68" t="n">
        <f aca="false">+F55+E56</f>
        <v>87.6899999999994</v>
      </c>
      <c r="G56" s="83" t="s">
        <v>91</v>
      </c>
    </row>
    <row r="57" customFormat="false" ht="15" hidden="false" customHeight="false" outlineLevel="0" collapsed="false">
      <c r="A57" s="74" t="n">
        <v>44230</v>
      </c>
      <c r="B57" s="66" t="str">
        <f aca="false">+TEXT(A57,"MMMM")</f>
        <v>febrero</v>
      </c>
      <c r="C57" s="76" t="s">
        <v>44</v>
      </c>
      <c r="D57" s="67" t="s">
        <v>92</v>
      </c>
      <c r="E57" s="68" t="n">
        <v>-54.5</v>
      </c>
      <c r="F57" s="68" t="n">
        <f aca="false">+F56+E57</f>
        <v>33.1899999999994</v>
      </c>
    </row>
    <row r="58" customFormat="false" ht="15" hidden="false" customHeight="false" outlineLevel="0" collapsed="false">
      <c r="A58" s="74" t="n">
        <v>44232</v>
      </c>
      <c r="B58" s="66" t="str">
        <f aca="false">+TEXT(A58,"MMMM")</f>
        <v>febrero</v>
      </c>
      <c r="C58" s="76" t="s">
        <v>41</v>
      </c>
      <c r="D58" s="67" t="s">
        <v>93</v>
      </c>
      <c r="E58" s="68" t="n">
        <v>2123.06</v>
      </c>
      <c r="F58" s="68" t="n">
        <f aca="false">+F57+E58</f>
        <v>2156.25</v>
      </c>
    </row>
    <row r="59" customFormat="false" ht="15" hidden="false" customHeight="false" outlineLevel="0" collapsed="false">
      <c r="A59" s="74" t="n">
        <v>44232</v>
      </c>
      <c r="B59" s="66" t="str">
        <f aca="false">+TEXT(A59,"MMMM")</f>
        <v>febrero</v>
      </c>
      <c r="C59" s="76" t="s">
        <v>44</v>
      </c>
      <c r="D59" s="67" t="s">
        <v>94</v>
      </c>
      <c r="E59" s="68" t="n">
        <v>-1500</v>
      </c>
      <c r="F59" s="68" t="n">
        <f aca="false">+F58+E59</f>
        <v>656.249999999999</v>
      </c>
    </row>
    <row r="60" customFormat="false" ht="15" hidden="false" customHeight="false" outlineLevel="0" collapsed="false">
      <c r="A60" s="74" t="n">
        <v>44232</v>
      </c>
      <c r="B60" s="66" t="str">
        <f aca="false">+TEXT(A60,"MMMM")</f>
        <v>febrero</v>
      </c>
      <c r="C60" s="76" t="s">
        <v>44</v>
      </c>
      <c r="D60" s="67" t="s">
        <v>94</v>
      </c>
      <c r="E60" s="68" t="n">
        <v>-50</v>
      </c>
      <c r="F60" s="68" t="n">
        <f aca="false">+F59+E60</f>
        <v>606.249999999999</v>
      </c>
    </row>
    <row r="61" customFormat="false" ht="15" hidden="false" customHeight="false" outlineLevel="0" collapsed="false">
      <c r="A61" s="74" t="n">
        <v>44243</v>
      </c>
      <c r="B61" s="66" t="str">
        <f aca="false">+TEXT(A61,"MMMM")</f>
        <v>febrero</v>
      </c>
      <c r="C61" s="76" t="s">
        <v>41</v>
      </c>
      <c r="D61" s="67" t="s">
        <v>43</v>
      </c>
      <c r="E61" s="68" t="n">
        <v>2504.25</v>
      </c>
      <c r="F61" s="68" t="n">
        <f aca="false">+F60+E61</f>
        <v>3110.5</v>
      </c>
    </row>
    <row r="62" customFormat="false" ht="15" hidden="false" customHeight="false" outlineLevel="0" collapsed="false">
      <c r="A62" s="74" t="n">
        <v>44244</v>
      </c>
      <c r="B62" s="66" t="str">
        <f aca="false">+TEXT(A62,"MMMM")</f>
        <v>febrero</v>
      </c>
      <c r="C62" s="76" t="s">
        <v>44</v>
      </c>
      <c r="D62" s="67" t="s">
        <v>95</v>
      </c>
      <c r="E62" s="68" t="n">
        <v>-700</v>
      </c>
      <c r="F62" s="68" t="n">
        <f aca="false">+F61+E62</f>
        <v>2410.5</v>
      </c>
    </row>
    <row r="63" customFormat="false" ht="15" hidden="false" customHeight="false" outlineLevel="0" collapsed="false">
      <c r="A63" s="74" t="n">
        <v>44246</v>
      </c>
      <c r="B63" s="66" t="str">
        <f aca="false">+TEXT(A63,"MMMM")</f>
        <v>febrero</v>
      </c>
      <c r="C63" s="76" t="s">
        <v>44</v>
      </c>
      <c r="D63" s="67" t="s">
        <v>96</v>
      </c>
      <c r="E63" s="68" t="n">
        <v>-300</v>
      </c>
      <c r="F63" s="68" t="n">
        <f aca="false">+F62+E63</f>
        <v>2110.5</v>
      </c>
    </row>
    <row r="64" customFormat="false" ht="15" hidden="false" customHeight="false" outlineLevel="0" collapsed="false">
      <c r="A64" s="74" t="n">
        <v>44247</v>
      </c>
      <c r="B64" s="66" t="str">
        <f aca="false">+TEXT(A64,"MMMM")</f>
        <v>febrero</v>
      </c>
      <c r="C64" s="76" t="s">
        <v>44</v>
      </c>
      <c r="D64" s="67" t="s">
        <v>48</v>
      </c>
      <c r="E64" s="68" t="n">
        <v>-460</v>
      </c>
      <c r="F64" s="68" t="n">
        <f aca="false">+F63+E64</f>
        <v>1650.5</v>
      </c>
    </row>
    <row r="65" customFormat="false" ht="15" hidden="false" customHeight="false" outlineLevel="0" collapsed="false">
      <c r="A65" s="74" t="n">
        <v>44251</v>
      </c>
      <c r="B65" s="66" t="str">
        <f aca="false">+TEXT(A65,"MMMM")</f>
        <v>febrero</v>
      </c>
      <c r="C65" s="76" t="s">
        <v>44</v>
      </c>
      <c r="D65" s="67" t="s">
        <v>97</v>
      </c>
      <c r="E65" s="68" t="n">
        <v>-70.1</v>
      </c>
      <c r="F65" s="68" t="n">
        <f aca="false">+F64+E65</f>
        <v>1580.4</v>
      </c>
    </row>
    <row r="66" customFormat="false" ht="15" hidden="false" customHeight="false" outlineLevel="0" collapsed="false">
      <c r="A66" s="74" t="n">
        <v>44255</v>
      </c>
      <c r="B66" s="66" t="str">
        <f aca="false">+TEXT(A66,"MMMM")</f>
        <v>febrero</v>
      </c>
      <c r="C66" s="76" t="s">
        <v>44</v>
      </c>
      <c r="D66" s="84" t="s">
        <v>98</v>
      </c>
      <c r="E66" s="68" t="n">
        <v>-224</v>
      </c>
      <c r="F66" s="68" t="n">
        <f aca="false">+F65+E66</f>
        <v>1356.4</v>
      </c>
    </row>
    <row r="67" customFormat="false" ht="15" hidden="false" customHeight="false" outlineLevel="0" collapsed="false">
      <c r="A67" s="74" t="n">
        <v>44255</v>
      </c>
      <c r="B67" s="66" t="str">
        <f aca="false">+TEXT(A67,"MMMM")</f>
        <v>febrero</v>
      </c>
      <c r="C67" s="76" t="s">
        <v>44</v>
      </c>
      <c r="D67" s="67" t="s">
        <v>99</v>
      </c>
      <c r="E67" s="68" t="n">
        <v>-55.27</v>
      </c>
      <c r="F67" s="68" t="n">
        <f aca="false">+F66+E67</f>
        <v>1301.13</v>
      </c>
    </row>
    <row r="68" customFormat="false" ht="15" hidden="false" customHeight="false" outlineLevel="0" collapsed="false">
      <c r="A68" s="74" t="n">
        <v>44256</v>
      </c>
      <c r="B68" s="66" t="str">
        <f aca="false">+TEXT(A68,"MMMM")</f>
        <v>marzo</v>
      </c>
      <c r="C68" s="76" t="s">
        <v>41</v>
      </c>
      <c r="D68" s="67" t="s">
        <v>43</v>
      </c>
      <c r="E68" s="68" t="n">
        <v>2504.25</v>
      </c>
      <c r="F68" s="68" t="n">
        <f aca="false">+F67+E68</f>
        <v>3805.38</v>
      </c>
    </row>
    <row r="69" customFormat="false" ht="15" hidden="false" customHeight="false" outlineLevel="0" collapsed="false">
      <c r="A69" s="74" t="n">
        <v>44256</v>
      </c>
      <c r="B69" s="66" t="str">
        <f aca="false">+TEXT(A69,"MMMM")</f>
        <v>marzo</v>
      </c>
      <c r="C69" s="76" t="s">
        <v>44</v>
      </c>
      <c r="D69" s="67" t="s">
        <v>100</v>
      </c>
      <c r="E69" s="68" t="n">
        <v>-1350</v>
      </c>
      <c r="F69" s="68" t="n">
        <f aca="false">+F68+E69</f>
        <v>2455.38</v>
      </c>
    </row>
    <row r="70" customFormat="false" ht="15" hidden="false" customHeight="false" outlineLevel="0" collapsed="false">
      <c r="A70" s="74" t="n">
        <v>44259</v>
      </c>
      <c r="B70" s="66" t="str">
        <f aca="false">+TEXT(A70,"MMMM")</f>
        <v>marzo</v>
      </c>
      <c r="C70" s="76" t="s">
        <v>44</v>
      </c>
      <c r="D70" s="67" t="s">
        <v>101</v>
      </c>
      <c r="E70" s="68" t="n">
        <v>-350</v>
      </c>
      <c r="F70" s="68" t="n">
        <f aca="false">+F69+E70</f>
        <v>2105.38</v>
      </c>
    </row>
    <row r="71" customFormat="false" ht="15" hidden="false" customHeight="false" outlineLevel="0" collapsed="false">
      <c r="A71" s="74" t="n">
        <v>44259</v>
      </c>
      <c r="B71" s="66" t="str">
        <f aca="false">+TEXT(A71,"MMMM")</f>
        <v>marzo</v>
      </c>
      <c r="C71" s="76" t="s">
        <v>44</v>
      </c>
      <c r="D71" s="67" t="s">
        <v>48</v>
      </c>
      <c r="E71" s="68" t="n">
        <v>-250</v>
      </c>
      <c r="F71" s="68" t="n">
        <f aca="false">+F70+E71</f>
        <v>1855.38</v>
      </c>
    </row>
    <row r="72" customFormat="false" ht="15" hidden="false" customHeight="false" outlineLevel="0" collapsed="false">
      <c r="A72" s="74" t="n">
        <v>44259</v>
      </c>
      <c r="B72" s="66" t="str">
        <f aca="false">+TEXT(A72,"MMMM")</f>
        <v>marzo</v>
      </c>
      <c r="C72" s="76" t="s">
        <v>44</v>
      </c>
      <c r="D72" s="67" t="s">
        <v>102</v>
      </c>
      <c r="E72" s="68" t="n">
        <v>-700</v>
      </c>
      <c r="F72" s="68" t="n">
        <f aca="false">+F71+E72</f>
        <v>1155.38</v>
      </c>
    </row>
    <row r="73" customFormat="false" ht="15" hidden="false" customHeight="false" outlineLevel="0" collapsed="false">
      <c r="A73" s="74" t="n">
        <v>44260</v>
      </c>
      <c r="B73" s="66" t="str">
        <f aca="false">+TEXT(A73,"MMMM")</f>
        <v>marzo</v>
      </c>
      <c r="C73" s="76" t="s">
        <v>44</v>
      </c>
      <c r="D73" s="67" t="s">
        <v>103</v>
      </c>
      <c r="E73" s="68" t="n">
        <v>-500</v>
      </c>
      <c r="F73" s="68" t="n">
        <f aca="false">+F72+E73</f>
        <v>655.379999999999</v>
      </c>
    </row>
    <row r="74" customFormat="false" ht="15" hidden="false" customHeight="false" outlineLevel="0" collapsed="false">
      <c r="A74" s="74" t="n">
        <v>44262</v>
      </c>
      <c r="B74" s="66" t="str">
        <f aca="false">+TEXT(A74,"MMMM")</f>
        <v>marzo</v>
      </c>
      <c r="C74" s="76" t="s">
        <v>44</v>
      </c>
      <c r="D74" s="67" t="s">
        <v>104</v>
      </c>
      <c r="E74" s="68" t="n">
        <v>-200</v>
      </c>
      <c r="F74" s="68" t="n">
        <f aca="false">+F73+E74</f>
        <v>455.379999999999</v>
      </c>
    </row>
    <row r="75" customFormat="false" ht="15" hidden="false" customHeight="false" outlineLevel="0" collapsed="false">
      <c r="A75" s="74" t="n">
        <v>44263</v>
      </c>
      <c r="B75" s="66" t="str">
        <f aca="false">+TEXT(A75,"MMMM")</f>
        <v>marzo</v>
      </c>
      <c r="C75" s="76" t="s">
        <v>44</v>
      </c>
      <c r="D75" s="67" t="s">
        <v>105</v>
      </c>
      <c r="E75" s="68" t="n">
        <v>-300</v>
      </c>
      <c r="F75" s="68" t="n">
        <f aca="false">+F74+E75</f>
        <v>155.379999999999</v>
      </c>
    </row>
    <row r="76" customFormat="false" ht="15" hidden="false" customHeight="false" outlineLevel="0" collapsed="false">
      <c r="A76" s="74" t="n">
        <v>44264</v>
      </c>
      <c r="B76" s="66" t="str">
        <f aca="false">+TEXT(A76,"MMMM")</f>
        <v>marzo</v>
      </c>
      <c r="C76" s="76" t="s">
        <v>44</v>
      </c>
      <c r="D76" s="67" t="s">
        <v>106</v>
      </c>
      <c r="E76" s="68" t="n">
        <v>-155</v>
      </c>
      <c r="F76" s="68" t="n">
        <f aca="false">+F75+E76</f>
        <v>0.3799999999992</v>
      </c>
    </row>
    <row r="77" customFormat="false" ht="15" hidden="false" customHeight="false" outlineLevel="0" collapsed="false">
      <c r="A77" s="74" t="n">
        <v>44270</v>
      </c>
      <c r="B77" s="66" t="str">
        <f aca="false">+TEXT(A77,"MMMM")</f>
        <v>marzo</v>
      </c>
      <c r="C77" s="76" t="s">
        <v>41</v>
      </c>
      <c r="D77" s="67" t="s">
        <v>43</v>
      </c>
      <c r="E77" s="68" t="n">
        <v>2504.25</v>
      </c>
      <c r="F77" s="68" t="n">
        <f aca="false">+F76+E77</f>
        <v>2504.63</v>
      </c>
    </row>
    <row r="78" customFormat="false" ht="15" hidden="false" customHeight="false" outlineLevel="0" collapsed="false">
      <c r="A78" s="74" t="n">
        <v>44271</v>
      </c>
      <c r="B78" s="66" t="str">
        <f aca="false">+TEXT(A78,"MMMM")</f>
        <v>marzo</v>
      </c>
      <c r="C78" s="76" t="s">
        <v>44</v>
      </c>
      <c r="D78" s="67" t="s">
        <v>107</v>
      </c>
      <c r="E78" s="68" t="n">
        <v>-1000</v>
      </c>
      <c r="F78" s="68" t="n">
        <f aca="false">+F77+E78</f>
        <v>1504.63</v>
      </c>
    </row>
    <row r="79" customFormat="false" ht="15" hidden="false" customHeight="false" outlineLevel="0" collapsed="false">
      <c r="A79" s="74" t="n">
        <v>44276</v>
      </c>
      <c r="B79" s="66" t="str">
        <f aca="false">+TEXT(A79,"MMMM")</f>
        <v>marzo</v>
      </c>
      <c r="C79" s="76" t="s">
        <v>44</v>
      </c>
      <c r="D79" s="67" t="s">
        <v>108</v>
      </c>
      <c r="E79" s="68" t="n">
        <v>-40</v>
      </c>
      <c r="F79" s="68" t="n">
        <f aca="false">+F78+E79</f>
        <v>1464.63</v>
      </c>
    </row>
    <row r="80" customFormat="false" ht="15" hidden="false" customHeight="false" outlineLevel="0" collapsed="false">
      <c r="A80" s="74" t="n">
        <v>44281</v>
      </c>
      <c r="B80" s="66" t="str">
        <f aca="false">+TEXT(A80,"MMMM")</f>
        <v>marzo</v>
      </c>
      <c r="C80" s="76" t="s">
        <v>41</v>
      </c>
      <c r="D80" s="67" t="s">
        <v>109</v>
      </c>
      <c r="E80" s="68" t="n">
        <v>1500</v>
      </c>
      <c r="F80" s="68" t="n">
        <f aca="false">+F79+E80</f>
        <v>2964.63</v>
      </c>
    </row>
    <row r="81" customFormat="false" ht="15" hidden="false" customHeight="false" outlineLevel="0" collapsed="false">
      <c r="A81" s="74" t="n">
        <v>44283</v>
      </c>
      <c r="B81" s="66" t="str">
        <f aca="false">+TEXT(A81,"MMMM")</f>
        <v>marzo</v>
      </c>
      <c r="C81" s="76" t="s">
        <v>44</v>
      </c>
      <c r="D81" s="67" t="s">
        <v>110</v>
      </c>
      <c r="E81" s="68" t="n">
        <v>-38.75</v>
      </c>
      <c r="F81" s="68" t="n">
        <f aca="false">+F80+E81</f>
        <v>2925.88</v>
      </c>
    </row>
    <row r="82" customFormat="false" ht="15" hidden="false" customHeight="false" outlineLevel="0" collapsed="false">
      <c r="A82" s="74" t="n">
        <v>44283</v>
      </c>
      <c r="B82" s="66" t="str">
        <f aca="false">+TEXT(A82,"MMMM")</f>
        <v>marzo</v>
      </c>
      <c r="C82" s="76" t="s">
        <v>44</v>
      </c>
      <c r="D82" s="67" t="s">
        <v>111</v>
      </c>
      <c r="E82" s="68" t="n">
        <v>-200</v>
      </c>
      <c r="F82" s="68" t="n">
        <f aca="false">+F81+E82</f>
        <v>2725.88</v>
      </c>
    </row>
    <row r="83" customFormat="false" ht="15" hidden="false" customHeight="false" outlineLevel="0" collapsed="false">
      <c r="A83" s="74" t="n">
        <v>44283</v>
      </c>
      <c r="B83" s="66" t="str">
        <f aca="false">+TEXT(A83,"MMMM")</f>
        <v>marzo</v>
      </c>
      <c r="C83" s="76" t="s">
        <v>44</v>
      </c>
      <c r="D83" s="67" t="s">
        <v>112</v>
      </c>
      <c r="E83" s="68" t="n">
        <v>-224</v>
      </c>
      <c r="F83" s="68" t="n">
        <f aca="false">+F82+E83</f>
        <v>2501.88</v>
      </c>
    </row>
    <row r="84" customFormat="false" ht="15" hidden="false" customHeight="false" outlineLevel="0" collapsed="false">
      <c r="A84" s="74" t="n">
        <v>44283</v>
      </c>
      <c r="B84" s="66" t="str">
        <f aca="false">+TEXT(A84,"MMMM")</f>
        <v>marzo</v>
      </c>
      <c r="C84" s="76" t="s">
        <v>44</v>
      </c>
      <c r="D84" s="67" t="s">
        <v>106</v>
      </c>
      <c r="E84" s="68" t="n">
        <v>-750</v>
      </c>
      <c r="F84" s="68" t="n">
        <f aca="false">+F83+E84</f>
        <v>1751.88</v>
      </c>
      <c r="H84" s="69" t="n">
        <f aca="false">2504.25*2</f>
        <v>5008.5</v>
      </c>
      <c r="I84" s="0" t="s">
        <v>113</v>
      </c>
    </row>
    <row r="85" customFormat="false" ht="15" hidden="false" customHeight="false" outlineLevel="0" collapsed="false">
      <c r="A85" s="74" t="n">
        <v>44285</v>
      </c>
      <c r="B85" s="66" t="str">
        <f aca="false">+TEXT(A85,"MMMM")</f>
        <v>marzo</v>
      </c>
      <c r="C85" s="76" t="s">
        <v>41</v>
      </c>
      <c r="D85" s="67" t="s">
        <v>43</v>
      </c>
      <c r="E85" s="68" t="n">
        <v>2149.8</v>
      </c>
      <c r="F85" s="68" t="n">
        <f aca="false">+F84+E85</f>
        <v>3901.68</v>
      </c>
      <c r="H85" s="69" t="n">
        <v>-500</v>
      </c>
      <c r="I85" s="0" t="s">
        <v>114</v>
      </c>
    </row>
    <row r="86" customFormat="false" ht="15" hidden="false" customHeight="false" outlineLevel="0" collapsed="false">
      <c r="A86" s="74" t="n">
        <v>44285</v>
      </c>
      <c r="B86" s="66" t="str">
        <f aca="false">+TEXT(A86,"MMMM")</f>
        <v>marzo</v>
      </c>
      <c r="C86" s="76" t="s">
        <v>41</v>
      </c>
      <c r="D86" s="67" t="s">
        <v>43</v>
      </c>
      <c r="E86" s="68" t="n">
        <v>146.46</v>
      </c>
      <c r="F86" s="68" t="n">
        <f aca="false">+F85+E86</f>
        <v>4048.14</v>
      </c>
      <c r="H86" s="69" t="n">
        <v>-1350</v>
      </c>
      <c r="I86" s="0" t="s">
        <v>115</v>
      </c>
    </row>
    <row r="87" customFormat="false" ht="15" hidden="false" customHeight="false" outlineLevel="0" collapsed="false">
      <c r="A87" s="74" t="n">
        <v>44285</v>
      </c>
      <c r="B87" s="66" t="str">
        <f aca="false">+TEXT(A87,"MMMM")</f>
        <v>marzo</v>
      </c>
      <c r="C87" s="76" t="s">
        <v>44</v>
      </c>
      <c r="D87" s="67" t="s">
        <v>116</v>
      </c>
      <c r="E87" s="68" t="n">
        <v>-1350</v>
      </c>
      <c r="F87" s="68" t="n">
        <f aca="false">+F86+E87</f>
        <v>2698.14</v>
      </c>
      <c r="H87" s="69" t="n">
        <v>-260</v>
      </c>
      <c r="I87" s="0" t="s">
        <v>117</v>
      </c>
    </row>
    <row r="88" customFormat="false" ht="15" hidden="false" customHeight="false" outlineLevel="0" collapsed="false">
      <c r="A88" s="74" t="n">
        <v>44285</v>
      </c>
      <c r="B88" s="66" t="str">
        <f aca="false">+TEXT(A88,"MMMM")</f>
        <v>marzo</v>
      </c>
      <c r="C88" s="76" t="s">
        <v>44</v>
      </c>
      <c r="D88" s="67" t="s">
        <v>118</v>
      </c>
      <c r="E88" s="68" t="n">
        <v>-112.63</v>
      </c>
      <c r="F88" s="68" t="n">
        <f aca="false">+F87+E88</f>
        <v>2585.51</v>
      </c>
      <c r="H88" s="69" t="n">
        <v>-120</v>
      </c>
      <c r="I88" s="0" t="s">
        <v>119</v>
      </c>
    </row>
    <row r="89" customFormat="false" ht="15" hidden="false" customHeight="false" outlineLevel="0" collapsed="false">
      <c r="A89" s="74" t="n">
        <v>44285</v>
      </c>
      <c r="B89" s="66" t="str">
        <f aca="false">+TEXT(A89,"MMMM")</f>
        <v>marzo</v>
      </c>
      <c r="C89" s="76" t="s">
        <v>44</v>
      </c>
      <c r="D89" s="67" t="s">
        <v>48</v>
      </c>
      <c r="E89" s="68" t="n">
        <v>-500</v>
      </c>
      <c r="F89" s="68" t="n">
        <f aca="false">+F88+E89</f>
        <v>2085.51</v>
      </c>
      <c r="H89" s="69" t="n">
        <v>-50</v>
      </c>
      <c r="I89" s="0" t="s">
        <v>120</v>
      </c>
    </row>
    <row r="90" customFormat="false" ht="15" hidden="false" customHeight="false" outlineLevel="0" collapsed="false">
      <c r="A90" s="74" t="n">
        <v>44286</v>
      </c>
      <c r="B90" s="66" t="str">
        <f aca="false">+TEXT(A90,"MMMM")</f>
        <v>marzo</v>
      </c>
      <c r="C90" s="76" t="s">
        <v>44</v>
      </c>
      <c r="D90" s="67" t="s">
        <v>95</v>
      </c>
      <c r="E90" s="68" t="n">
        <v>-700</v>
      </c>
      <c r="F90" s="68" t="n">
        <f aca="false">+F89+E90</f>
        <v>1385.51</v>
      </c>
      <c r="H90" s="69" t="n">
        <v>-1400</v>
      </c>
      <c r="I90" s="0" t="s">
        <v>121</v>
      </c>
    </row>
    <row r="91" customFormat="false" ht="15" hidden="false" customHeight="false" outlineLevel="0" collapsed="false">
      <c r="A91" s="74" t="n">
        <v>44289</v>
      </c>
      <c r="B91" s="66" t="str">
        <f aca="false">+TEXT(A91,"MMMM")</f>
        <v>abril</v>
      </c>
      <c r="C91" s="76" t="s">
        <v>44</v>
      </c>
      <c r="D91" s="67" t="s">
        <v>122</v>
      </c>
      <c r="E91" s="68" t="n">
        <v>-100</v>
      </c>
      <c r="F91" s="68" t="n">
        <f aca="false">+F90+E91</f>
        <v>1285.51</v>
      </c>
      <c r="H91" s="69" t="n">
        <v>-200</v>
      </c>
      <c r="I91" s="0" t="s">
        <v>123</v>
      </c>
    </row>
    <row r="92" customFormat="false" ht="15" hidden="false" customHeight="false" outlineLevel="0" collapsed="false">
      <c r="A92" s="74" t="n">
        <v>44289</v>
      </c>
      <c r="B92" s="66" t="str">
        <f aca="false">+TEXT(A92,"MMMM")</f>
        <v>abril</v>
      </c>
      <c r="C92" s="76" t="s">
        <v>44</v>
      </c>
      <c r="D92" s="67" t="s">
        <v>122</v>
      </c>
      <c r="E92" s="68" t="n">
        <v>-1000</v>
      </c>
      <c r="F92" s="68" t="n">
        <f aca="false">+F91+E92</f>
        <v>285.509999999999</v>
      </c>
      <c r="H92" s="69" t="n">
        <v>-200</v>
      </c>
      <c r="I92" s="0" t="s">
        <v>124</v>
      </c>
    </row>
    <row r="93" customFormat="false" ht="15" hidden="false" customHeight="false" outlineLevel="0" collapsed="false">
      <c r="A93" s="74" t="n">
        <v>44289</v>
      </c>
      <c r="B93" s="66" t="str">
        <f aca="false">+TEXT(A93,"MMMM")</f>
        <v>abril</v>
      </c>
      <c r="C93" s="76" t="s">
        <v>44</v>
      </c>
      <c r="D93" s="67" t="s">
        <v>125</v>
      </c>
      <c r="E93" s="68" t="n">
        <v>-200</v>
      </c>
      <c r="F93" s="68" t="n">
        <f aca="false">+F92+E93</f>
        <v>85.5099999999993</v>
      </c>
      <c r="H93" s="69" t="n">
        <v>-75</v>
      </c>
      <c r="I93" s="0" t="s">
        <v>126</v>
      </c>
    </row>
    <row r="94" customFormat="false" ht="15" hidden="false" customHeight="false" outlineLevel="0" collapsed="false">
      <c r="A94" s="74" t="n">
        <v>44290</v>
      </c>
      <c r="B94" s="66" t="str">
        <f aca="false">+TEXT(A94,"MMMM")</f>
        <v>abril</v>
      </c>
      <c r="C94" s="76" t="s">
        <v>41</v>
      </c>
      <c r="D94" s="67" t="s">
        <v>127</v>
      </c>
      <c r="E94" s="68" t="n">
        <v>100</v>
      </c>
      <c r="F94" s="68" t="n">
        <f aca="false">+F93+E94</f>
        <v>185.509999999999</v>
      </c>
    </row>
    <row r="95" customFormat="false" ht="15" hidden="false" customHeight="false" outlineLevel="0" collapsed="false">
      <c r="A95" s="74" t="n">
        <v>44290</v>
      </c>
      <c r="B95" s="66" t="str">
        <f aca="false">+TEXT(A95,"MMMM")</f>
        <v>abril</v>
      </c>
      <c r="C95" s="76" t="s">
        <v>44</v>
      </c>
      <c r="D95" s="67" t="s">
        <v>97</v>
      </c>
      <c r="E95" s="68" t="n">
        <v>-80</v>
      </c>
      <c r="F95" s="68" t="n">
        <f aca="false">+F94+E95</f>
        <v>105.509999999999</v>
      </c>
      <c r="H95" s="69" t="n">
        <f aca="false">SUM(H84:H94)</f>
        <v>853.5</v>
      </c>
      <c r="I95" s="0" t="s">
        <v>128</v>
      </c>
    </row>
    <row r="96" customFormat="false" ht="15" hidden="false" customHeight="false" outlineLevel="0" collapsed="false">
      <c r="A96" s="74" t="n">
        <v>44290</v>
      </c>
      <c r="B96" s="66" t="str">
        <f aca="false">+TEXT(A96,"MMMM")</f>
        <v>abril</v>
      </c>
      <c r="C96" s="76" t="s">
        <v>44</v>
      </c>
      <c r="D96" s="67" t="s">
        <v>129</v>
      </c>
      <c r="E96" s="68" t="n">
        <v>-100</v>
      </c>
      <c r="F96" s="68" t="n">
        <f aca="false">+F95+E96</f>
        <v>5.50999999999931</v>
      </c>
    </row>
    <row r="97" customFormat="false" ht="15" hidden="false" customHeight="false" outlineLevel="0" collapsed="false">
      <c r="C97" s="76"/>
    </row>
    <row r="98" customFormat="false" ht="15" hidden="false" customHeight="false" outlineLevel="0" collapsed="false">
      <c r="C98" s="76"/>
    </row>
    <row r="99" customFormat="false" ht="15" hidden="false" customHeight="false" outlineLevel="0" collapsed="false">
      <c r="C99" s="76"/>
    </row>
    <row r="100" customFormat="false" ht="15" hidden="false" customHeight="false" outlineLevel="0" collapsed="false">
      <c r="C100" s="76"/>
    </row>
    <row r="101" customFormat="false" ht="15" hidden="false" customHeight="false" outlineLevel="0" collapsed="false">
      <c r="C101" s="76"/>
    </row>
    <row r="102" customFormat="false" ht="15" hidden="false" customHeight="false" outlineLevel="0" collapsed="false">
      <c r="C102" s="76"/>
    </row>
    <row r="103" customFormat="false" ht="15" hidden="false" customHeight="false" outlineLevel="0" collapsed="false">
      <c r="C103" s="76"/>
    </row>
    <row r="104" customFormat="false" ht="15" hidden="false" customHeight="false" outlineLevel="0" collapsed="false">
      <c r="C104" s="76"/>
    </row>
    <row r="105" customFormat="false" ht="15" hidden="false" customHeight="false" outlineLevel="0" collapsed="false">
      <c r="C105" s="76"/>
    </row>
    <row r="106" customFormat="false" ht="15" hidden="false" customHeight="false" outlineLevel="0" collapsed="false">
      <c r="C106" s="76"/>
    </row>
    <row r="107" customFormat="false" ht="15" hidden="false" customHeight="false" outlineLevel="0" collapsed="false">
      <c r="C107" s="76"/>
    </row>
    <row r="108" customFormat="false" ht="15" hidden="false" customHeight="false" outlineLevel="0" collapsed="false">
      <c r="C108" s="76"/>
    </row>
    <row r="109" customFormat="false" ht="15" hidden="false" customHeight="false" outlineLevel="0" collapsed="false">
      <c r="C109" s="76"/>
    </row>
    <row r="110" customFormat="false" ht="15" hidden="false" customHeight="false" outlineLevel="0" collapsed="false">
      <c r="C110" s="76"/>
    </row>
    <row r="111" customFormat="false" ht="15" hidden="false" customHeight="false" outlineLevel="0" collapsed="false">
      <c r="C111" s="76"/>
    </row>
    <row r="112" customFormat="false" ht="15" hidden="false" customHeight="false" outlineLevel="0" collapsed="false">
      <c r="C112" s="76"/>
    </row>
    <row r="113" customFormat="false" ht="15" hidden="false" customHeight="false" outlineLevel="0" collapsed="false">
      <c r="C113" s="76"/>
    </row>
    <row r="114" customFormat="false" ht="15" hidden="false" customHeight="false" outlineLevel="0" collapsed="false">
      <c r="C114" s="76"/>
    </row>
    <row r="115" customFormat="false" ht="15" hidden="false" customHeight="false" outlineLevel="0" collapsed="false">
      <c r="C115" s="76"/>
    </row>
    <row r="116" customFormat="false" ht="15" hidden="false" customHeight="false" outlineLevel="0" collapsed="false">
      <c r="C116" s="76"/>
    </row>
    <row r="117" customFormat="false" ht="15" hidden="false" customHeight="false" outlineLevel="0" collapsed="false">
      <c r="C117" s="76"/>
    </row>
    <row r="118" customFormat="false" ht="15" hidden="false" customHeight="false" outlineLevel="0" collapsed="false">
      <c r="C118" s="76"/>
    </row>
    <row r="119" customFormat="false" ht="15" hidden="false" customHeight="false" outlineLevel="0" collapsed="false">
      <c r="C119" s="76"/>
    </row>
    <row r="120" customFormat="false" ht="15" hidden="false" customHeight="false" outlineLevel="0" collapsed="false">
      <c r="C120" s="76"/>
    </row>
    <row r="121" customFormat="false" ht="15" hidden="false" customHeight="false" outlineLevel="0" collapsed="false">
      <c r="C121" s="76"/>
    </row>
    <row r="122" customFormat="false" ht="15" hidden="false" customHeight="false" outlineLevel="0" collapsed="false">
      <c r="C122" s="76"/>
    </row>
    <row r="123" customFormat="false" ht="15" hidden="false" customHeight="false" outlineLevel="0" collapsed="false">
      <c r="C123" s="76"/>
    </row>
    <row r="124" customFormat="false" ht="15" hidden="false" customHeight="false" outlineLevel="0" collapsed="false">
      <c r="C124" s="76"/>
    </row>
    <row r="125" customFormat="false" ht="15" hidden="false" customHeight="false" outlineLevel="0" collapsed="false">
      <c r="C125" s="76"/>
    </row>
    <row r="126" customFormat="false" ht="15" hidden="false" customHeight="false" outlineLevel="0" collapsed="false">
      <c r="C126" s="76"/>
    </row>
    <row r="127" customFormat="false" ht="15" hidden="false" customHeight="false" outlineLevel="0" collapsed="false">
      <c r="C127" s="76"/>
    </row>
    <row r="128" customFormat="false" ht="15" hidden="false" customHeight="false" outlineLevel="0" collapsed="false">
      <c r="C128" s="76"/>
    </row>
    <row r="129" customFormat="false" ht="15" hidden="false" customHeight="false" outlineLevel="0" collapsed="false">
      <c r="C129" s="76"/>
    </row>
    <row r="130" customFormat="false" ht="15" hidden="false" customHeight="false" outlineLevel="0" collapsed="false">
      <c r="C130" s="76"/>
    </row>
    <row r="131" customFormat="false" ht="15" hidden="false" customHeight="false" outlineLevel="0" collapsed="false">
      <c r="C131" s="76"/>
    </row>
    <row r="132" customFormat="false" ht="15" hidden="false" customHeight="false" outlineLevel="0" collapsed="false">
      <c r="C132" s="76"/>
    </row>
    <row r="133" customFormat="false" ht="15" hidden="false" customHeight="false" outlineLevel="0" collapsed="false">
      <c r="C133" s="76"/>
    </row>
    <row r="134" customFormat="false" ht="15" hidden="false" customHeight="false" outlineLevel="0" collapsed="false">
      <c r="C134" s="76"/>
    </row>
    <row r="135" customFormat="false" ht="15" hidden="false" customHeight="false" outlineLevel="0" collapsed="false">
      <c r="C135" s="76"/>
    </row>
    <row r="136" customFormat="false" ht="15" hidden="false" customHeight="false" outlineLevel="0" collapsed="false">
      <c r="C136" s="76"/>
    </row>
    <row r="137" customFormat="false" ht="15" hidden="false" customHeight="false" outlineLevel="0" collapsed="false">
      <c r="C137" s="76"/>
    </row>
    <row r="138" customFormat="false" ht="15" hidden="false" customHeight="false" outlineLevel="0" collapsed="false">
      <c r="C138" s="76"/>
    </row>
    <row r="139" customFormat="false" ht="15" hidden="false" customHeight="false" outlineLevel="0" collapsed="false">
      <c r="C139" s="76"/>
    </row>
    <row r="140" customFormat="false" ht="15" hidden="false" customHeight="false" outlineLevel="0" collapsed="false">
      <c r="C140" s="76"/>
    </row>
    <row r="141" customFormat="false" ht="15" hidden="false" customHeight="false" outlineLevel="0" collapsed="false">
      <c r="C141" s="76"/>
    </row>
    <row r="142" customFormat="false" ht="15" hidden="false" customHeight="false" outlineLevel="0" collapsed="false">
      <c r="C142" s="76"/>
    </row>
    <row r="143" customFormat="false" ht="15" hidden="false" customHeight="false" outlineLevel="0" collapsed="false">
      <c r="C143" s="76"/>
    </row>
    <row r="144" customFormat="false" ht="15" hidden="false" customHeight="false" outlineLevel="0" collapsed="false">
      <c r="C144" s="76"/>
    </row>
    <row r="145" customFormat="false" ht="15" hidden="false" customHeight="false" outlineLevel="0" collapsed="false">
      <c r="C145" s="76"/>
    </row>
    <row r="146" customFormat="false" ht="15" hidden="false" customHeight="false" outlineLevel="0" collapsed="false">
      <c r="C146" s="76"/>
    </row>
    <row r="147" customFormat="false" ht="15" hidden="false" customHeight="false" outlineLevel="0" collapsed="false">
      <c r="C147" s="76"/>
    </row>
    <row r="148" customFormat="false" ht="15" hidden="false" customHeight="false" outlineLevel="0" collapsed="false">
      <c r="C148" s="76"/>
    </row>
    <row r="149" customFormat="false" ht="15" hidden="false" customHeight="false" outlineLevel="0" collapsed="false">
      <c r="C149" s="76"/>
    </row>
    <row r="150" customFormat="false" ht="15" hidden="false" customHeight="false" outlineLevel="0" collapsed="false">
      <c r="C150" s="76"/>
    </row>
    <row r="151" customFormat="false" ht="15" hidden="false" customHeight="false" outlineLevel="0" collapsed="false">
      <c r="C151" s="76"/>
    </row>
    <row r="152" customFormat="false" ht="15" hidden="false" customHeight="false" outlineLevel="0" collapsed="false">
      <c r="C152" s="76"/>
    </row>
    <row r="153" customFormat="false" ht="15" hidden="false" customHeight="false" outlineLevel="0" collapsed="false">
      <c r="C153" s="76"/>
    </row>
    <row r="154" customFormat="false" ht="15" hidden="false" customHeight="false" outlineLevel="0" collapsed="false">
      <c r="C154" s="76"/>
    </row>
    <row r="155" customFormat="false" ht="15" hidden="false" customHeight="false" outlineLevel="0" collapsed="false">
      <c r="C155" s="76"/>
    </row>
    <row r="156" customFormat="false" ht="15" hidden="false" customHeight="false" outlineLevel="0" collapsed="false">
      <c r="C156" s="76"/>
    </row>
    <row r="157" customFormat="false" ht="15" hidden="false" customHeight="false" outlineLevel="0" collapsed="false">
      <c r="C157" s="76"/>
    </row>
    <row r="158" customFormat="false" ht="15" hidden="false" customHeight="false" outlineLevel="0" collapsed="false">
      <c r="C158" s="76"/>
    </row>
    <row r="159" customFormat="false" ht="15" hidden="false" customHeight="false" outlineLevel="0" collapsed="false">
      <c r="C159" s="76"/>
    </row>
    <row r="160" customFormat="false" ht="15" hidden="false" customHeight="false" outlineLevel="0" collapsed="false">
      <c r="C160" s="76"/>
    </row>
    <row r="161" customFormat="false" ht="15" hidden="false" customHeight="false" outlineLevel="0" collapsed="false">
      <c r="C161" s="76"/>
    </row>
    <row r="162" customFormat="false" ht="15" hidden="false" customHeight="false" outlineLevel="0" collapsed="false">
      <c r="C162" s="76"/>
    </row>
    <row r="163" customFormat="false" ht="15" hidden="false" customHeight="false" outlineLevel="0" collapsed="false">
      <c r="C163" s="76"/>
    </row>
    <row r="164" customFormat="false" ht="15" hidden="false" customHeight="false" outlineLevel="0" collapsed="false">
      <c r="C164" s="76"/>
    </row>
    <row r="165" customFormat="false" ht="15" hidden="false" customHeight="false" outlineLevel="0" collapsed="false">
      <c r="C165" s="76"/>
    </row>
    <row r="166" customFormat="false" ht="15" hidden="false" customHeight="false" outlineLevel="0" collapsed="false">
      <c r="C166" s="76"/>
    </row>
    <row r="167" customFormat="false" ht="15" hidden="false" customHeight="false" outlineLevel="0" collapsed="false">
      <c r="C167" s="76"/>
    </row>
    <row r="168" customFormat="false" ht="15" hidden="false" customHeight="false" outlineLevel="0" collapsed="false">
      <c r="C168" s="76"/>
    </row>
    <row r="169" customFormat="false" ht="15" hidden="false" customHeight="false" outlineLevel="0" collapsed="false">
      <c r="C169" s="76"/>
    </row>
    <row r="170" customFormat="false" ht="15" hidden="false" customHeight="false" outlineLevel="0" collapsed="false">
      <c r="C170" s="76"/>
    </row>
    <row r="171" customFormat="false" ht="15" hidden="false" customHeight="false" outlineLevel="0" collapsed="false">
      <c r="C171" s="76"/>
    </row>
    <row r="172" customFormat="false" ht="15" hidden="false" customHeight="false" outlineLevel="0" collapsed="false">
      <c r="C172" s="76"/>
    </row>
    <row r="173" customFormat="false" ht="15" hidden="false" customHeight="false" outlineLevel="0" collapsed="false">
      <c r="C173" s="76"/>
    </row>
    <row r="174" customFormat="false" ht="15" hidden="false" customHeight="false" outlineLevel="0" collapsed="false">
      <c r="C174" s="76"/>
    </row>
    <row r="175" customFormat="false" ht="15" hidden="false" customHeight="false" outlineLevel="0" collapsed="false">
      <c r="C175" s="76"/>
    </row>
    <row r="176" customFormat="false" ht="15" hidden="false" customHeight="false" outlineLevel="0" collapsed="false">
      <c r="C176" s="76"/>
    </row>
    <row r="177" customFormat="false" ht="15" hidden="false" customHeight="false" outlineLevel="0" collapsed="false">
      <c r="C177" s="76"/>
    </row>
    <row r="178" customFormat="false" ht="15" hidden="false" customHeight="false" outlineLevel="0" collapsed="false">
      <c r="C178" s="76"/>
    </row>
    <row r="179" customFormat="false" ht="15" hidden="false" customHeight="false" outlineLevel="0" collapsed="false">
      <c r="C179" s="76"/>
    </row>
    <row r="180" customFormat="false" ht="15" hidden="false" customHeight="false" outlineLevel="0" collapsed="false">
      <c r="C180" s="76"/>
    </row>
    <row r="181" customFormat="false" ht="15" hidden="false" customHeight="false" outlineLevel="0" collapsed="false">
      <c r="C181" s="76"/>
    </row>
    <row r="182" customFormat="false" ht="15" hidden="false" customHeight="false" outlineLevel="0" collapsed="false">
      <c r="C182" s="76"/>
    </row>
    <row r="183" customFormat="false" ht="15" hidden="false" customHeight="false" outlineLevel="0" collapsed="false">
      <c r="C183" s="76"/>
    </row>
    <row r="184" customFormat="false" ht="15" hidden="false" customHeight="false" outlineLevel="0" collapsed="false">
      <c r="C184" s="76"/>
    </row>
    <row r="185" customFormat="false" ht="15" hidden="false" customHeight="false" outlineLevel="0" collapsed="false">
      <c r="C185" s="76"/>
    </row>
    <row r="186" customFormat="false" ht="15" hidden="false" customHeight="false" outlineLevel="0" collapsed="false">
      <c r="C186" s="76"/>
    </row>
    <row r="187" customFormat="false" ht="15" hidden="false" customHeight="false" outlineLevel="0" collapsed="false">
      <c r="C187" s="76"/>
    </row>
    <row r="188" customFormat="false" ht="15" hidden="false" customHeight="false" outlineLevel="0" collapsed="false">
      <c r="C188" s="76"/>
    </row>
    <row r="189" customFormat="false" ht="15" hidden="false" customHeight="false" outlineLevel="0" collapsed="false">
      <c r="C189" s="76"/>
    </row>
    <row r="190" customFormat="false" ht="15" hidden="false" customHeight="false" outlineLevel="0" collapsed="false">
      <c r="C190" s="76"/>
    </row>
    <row r="191" customFormat="false" ht="15" hidden="false" customHeight="false" outlineLevel="0" collapsed="false">
      <c r="C191" s="76"/>
    </row>
    <row r="192" customFormat="false" ht="15" hidden="false" customHeight="false" outlineLevel="0" collapsed="false">
      <c r="C192" s="76"/>
    </row>
    <row r="193" customFormat="false" ht="15" hidden="false" customHeight="false" outlineLevel="0" collapsed="false">
      <c r="C193" s="76"/>
    </row>
    <row r="194" customFormat="false" ht="15" hidden="false" customHeight="false" outlineLevel="0" collapsed="false">
      <c r="C194" s="76"/>
    </row>
    <row r="195" customFormat="false" ht="15" hidden="false" customHeight="false" outlineLevel="0" collapsed="false">
      <c r="C195" s="76"/>
    </row>
    <row r="196" customFormat="false" ht="15" hidden="false" customHeight="false" outlineLevel="0" collapsed="false">
      <c r="C196" s="76"/>
    </row>
    <row r="197" customFormat="false" ht="15" hidden="false" customHeight="false" outlineLevel="0" collapsed="false">
      <c r="C197" s="76"/>
    </row>
    <row r="198" customFormat="false" ht="15" hidden="false" customHeight="false" outlineLevel="0" collapsed="false">
      <c r="C198" s="76"/>
    </row>
    <row r="199" customFormat="false" ht="15" hidden="false" customHeight="false" outlineLevel="0" collapsed="false">
      <c r="C199" s="76"/>
    </row>
    <row r="200" customFormat="false" ht="15" hidden="false" customHeight="false" outlineLevel="0" collapsed="false">
      <c r="C200" s="76"/>
    </row>
    <row r="201" customFormat="false" ht="15" hidden="false" customHeight="false" outlineLevel="0" collapsed="false">
      <c r="C201" s="76"/>
    </row>
    <row r="202" customFormat="false" ht="15" hidden="false" customHeight="false" outlineLevel="0" collapsed="false">
      <c r="C202" s="76"/>
    </row>
    <row r="203" customFormat="false" ht="15" hidden="false" customHeight="false" outlineLevel="0" collapsed="false">
      <c r="C203" s="76"/>
    </row>
    <row r="204" customFormat="false" ht="15" hidden="false" customHeight="false" outlineLevel="0" collapsed="false">
      <c r="C204" s="76"/>
    </row>
    <row r="205" customFormat="false" ht="15" hidden="false" customHeight="false" outlineLevel="0" collapsed="false">
      <c r="C205" s="76"/>
    </row>
    <row r="206" customFormat="false" ht="15" hidden="false" customHeight="false" outlineLevel="0" collapsed="false">
      <c r="C206" s="76"/>
    </row>
    <row r="207" customFormat="false" ht="15" hidden="false" customHeight="false" outlineLevel="0" collapsed="false">
      <c r="C207" s="76"/>
    </row>
    <row r="208" customFormat="false" ht="15" hidden="false" customHeight="false" outlineLevel="0" collapsed="false">
      <c r="C208" s="76"/>
    </row>
    <row r="209" customFormat="false" ht="15" hidden="false" customHeight="false" outlineLevel="0" collapsed="false">
      <c r="C209" s="76"/>
    </row>
    <row r="210" customFormat="false" ht="15" hidden="false" customHeight="false" outlineLevel="0" collapsed="false">
      <c r="C210" s="76"/>
    </row>
    <row r="211" customFormat="false" ht="15" hidden="false" customHeight="false" outlineLevel="0" collapsed="false">
      <c r="C211" s="76"/>
    </row>
    <row r="212" customFormat="false" ht="15" hidden="false" customHeight="false" outlineLevel="0" collapsed="false">
      <c r="C212" s="76"/>
    </row>
    <row r="213" customFormat="false" ht="15" hidden="false" customHeight="false" outlineLevel="0" collapsed="false">
      <c r="C213" s="76"/>
    </row>
    <row r="214" customFormat="false" ht="15" hidden="false" customHeight="false" outlineLevel="0" collapsed="false">
      <c r="C214" s="76"/>
    </row>
    <row r="215" customFormat="false" ht="15" hidden="false" customHeight="false" outlineLevel="0" collapsed="false">
      <c r="C215" s="76"/>
    </row>
    <row r="216" customFormat="false" ht="15" hidden="false" customHeight="false" outlineLevel="0" collapsed="false">
      <c r="C216" s="76"/>
    </row>
    <row r="217" customFormat="false" ht="15" hidden="false" customHeight="false" outlineLevel="0" collapsed="false">
      <c r="C217" s="76"/>
    </row>
    <row r="218" customFormat="false" ht="15" hidden="false" customHeight="false" outlineLevel="0" collapsed="false">
      <c r="C218" s="76"/>
    </row>
    <row r="219" customFormat="false" ht="15" hidden="false" customHeight="false" outlineLevel="0" collapsed="false">
      <c r="C219" s="76"/>
    </row>
    <row r="220" customFormat="false" ht="15" hidden="false" customHeight="false" outlineLevel="0" collapsed="false">
      <c r="C220" s="76"/>
    </row>
    <row r="221" customFormat="false" ht="15" hidden="false" customHeight="false" outlineLevel="0" collapsed="false">
      <c r="C221" s="76"/>
    </row>
    <row r="222" customFormat="false" ht="15" hidden="false" customHeight="false" outlineLevel="0" collapsed="false">
      <c r="C222" s="76"/>
    </row>
    <row r="223" customFormat="false" ht="15" hidden="false" customHeight="false" outlineLevel="0" collapsed="false">
      <c r="C223" s="76"/>
    </row>
    <row r="224" customFormat="false" ht="15" hidden="false" customHeight="false" outlineLevel="0" collapsed="false">
      <c r="C224" s="76"/>
    </row>
    <row r="225" customFormat="false" ht="15" hidden="false" customHeight="false" outlineLevel="0" collapsed="false">
      <c r="C225" s="76"/>
    </row>
    <row r="226" customFormat="false" ht="15" hidden="false" customHeight="false" outlineLevel="0" collapsed="false">
      <c r="C226" s="76"/>
    </row>
    <row r="227" customFormat="false" ht="15" hidden="false" customHeight="false" outlineLevel="0" collapsed="false">
      <c r="C227" s="76"/>
    </row>
    <row r="228" customFormat="false" ht="15" hidden="false" customHeight="false" outlineLevel="0" collapsed="false">
      <c r="C228" s="76"/>
    </row>
    <row r="229" customFormat="false" ht="15" hidden="false" customHeight="false" outlineLevel="0" collapsed="false">
      <c r="C229" s="76"/>
    </row>
    <row r="230" customFormat="false" ht="15" hidden="false" customHeight="false" outlineLevel="0" collapsed="false">
      <c r="C230" s="76"/>
    </row>
    <row r="231" customFormat="false" ht="15" hidden="false" customHeight="false" outlineLevel="0" collapsed="false">
      <c r="C231" s="76"/>
    </row>
    <row r="232" customFormat="false" ht="15" hidden="false" customHeight="false" outlineLevel="0" collapsed="false">
      <c r="C232" s="76"/>
    </row>
    <row r="233" customFormat="false" ht="15" hidden="false" customHeight="false" outlineLevel="0" collapsed="false">
      <c r="C233" s="76"/>
    </row>
    <row r="234" customFormat="false" ht="15" hidden="false" customHeight="false" outlineLevel="0" collapsed="false">
      <c r="C234" s="76"/>
    </row>
    <row r="235" customFormat="false" ht="15" hidden="false" customHeight="false" outlineLevel="0" collapsed="false">
      <c r="C235" s="76"/>
    </row>
    <row r="236" customFormat="false" ht="15" hidden="false" customHeight="false" outlineLevel="0" collapsed="false">
      <c r="C236" s="76"/>
    </row>
    <row r="237" customFormat="false" ht="15" hidden="false" customHeight="false" outlineLevel="0" collapsed="false">
      <c r="C237" s="76"/>
    </row>
    <row r="238" customFormat="false" ht="15" hidden="false" customHeight="false" outlineLevel="0" collapsed="false">
      <c r="C238" s="76"/>
    </row>
    <row r="239" customFormat="false" ht="15" hidden="false" customHeight="false" outlineLevel="0" collapsed="false">
      <c r="C239" s="76"/>
    </row>
    <row r="240" customFormat="false" ht="15" hidden="false" customHeight="false" outlineLevel="0" collapsed="false">
      <c r="C240" s="76"/>
    </row>
    <row r="241" customFormat="false" ht="15" hidden="false" customHeight="false" outlineLevel="0" collapsed="false">
      <c r="C241" s="76"/>
    </row>
    <row r="242" customFormat="false" ht="15" hidden="false" customHeight="false" outlineLevel="0" collapsed="false">
      <c r="C242" s="76"/>
    </row>
    <row r="243" customFormat="false" ht="15" hidden="false" customHeight="false" outlineLevel="0" collapsed="false">
      <c r="C243" s="76"/>
    </row>
    <row r="244" customFormat="false" ht="15" hidden="false" customHeight="false" outlineLevel="0" collapsed="false">
      <c r="C244" s="76"/>
    </row>
    <row r="245" customFormat="false" ht="15" hidden="false" customHeight="false" outlineLevel="0" collapsed="false">
      <c r="C245" s="76"/>
    </row>
    <row r="246" customFormat="false" ht="15" hidden="false" customHeight="false" outlineLevel="0" collapsed="false">
      <c r="C246" s="76"/>
    </row>
    <row r="247" customFormat="false" ht="15" hidden="false" customHeight="false" outlineLevel="0" collapsed="false">
      <c r="C247" s="76"/>
    </row>
    <row r="248" customFormat="false" ht="15" hidden="false" customHeight="false" outlineLevel="0" collapsed="false">
      <c r="C248" s="76"/>
    </row>
    <row r="249" customFormat="false" ht="15" hidden="false" customHeight="false" outlineLevel="0" collapsed="false">
      <c r="C249" s="76"/>
    </row>
    <row r="250" customFormat="false" ht="15" hidden="false" customHeight="false" outlineLevel="0" collapsed="false">
      <c r="C250" s="76"/>
    </row>
    <row r="251" customFormat="false" ht="15" hidden="false" customHeight="false" outlineLevel="0" collapsed="false">
      <c r="C251" s="76"/>
    </row>
    <row r="252" customFormat="false" ht="15" hidden="false" customHeight="false" outlineLevel="0" collapsed="false">
      <c r="C252" s="76"/>
    </row>
    <row r="253" customFormat="false" ht="15" hidden="false" customHeight="false" outlineLevel="0" collapsed="false">
      <c r="C253" s="76"/>
    </row>
    <row r="254" customFormat="false" ht="15" hidden="false" customHeight="false" outlineLevel="0" collapsed="false">
      <c r="C254" s="76"/>
    </row>
    <row r="255" customFormat="false" ht="15" hidden="false" customHeight="false" outlineLevel="0" collapsed="false">
      <c r="C255" s="76"/>
    </row>
    <row r="256" customFormat="false" ht="15" hidden="false" customHeight="false" outlineLevel="0" collapsed="false">
      <c r="C256" s="76"/>
    </row>
    <row r="257" customFormat="false" ht="15" hidden="false" customHeight="false" outlineLevel="0" collapsed="false">
      <c r="C257" s="76"/>
    </row>
    <row r="258" customFormat="false" ht="15" hidden="false" customHeight="false" outlineLevel="0" collapsed="false">
      <c r="C258" s="76"/>
    </row>
    <row r="259" customFormat="false" ht="15" hidden="false" customHeight="false" outlineLevel="0" collapsed="false">
      <c r="C259" s="76"/>
    </row>
    <row r="260" customFormat="false" ht="15" hidden="false" customHeight="false" outlineLevel="0" collapsed="false">
      <c r="C260" s="76"/>
    </row>
    <row r="261" customFormat="false" ht="15" hidden="false" customHeight="false" outlineLevel="0" collapsed="false">
      <c r="C261" s="76"/>
    </row>
    <row r="262" customFormat="false" ht="15" hidden="false" customHeight="false" outlineLevel="0" collapsed="false">
      <c r="C262" s="76"/>
    </row>
    <row r="263" customFormat="false" ht="15" hidden="false" customHeight="false" outlineLevel="0" collapsed="false">
      <c r="C263" s="76"/>
    </row>
    <row r="264" customFormat="false" ht="15" hidden="false" customHeight="false" outlineLevel="0" collapsed="false">
      <c r="C264" s="76"/>
    </row>
    <row r="265" customFormat="false" ht="15" hidden="false" customHeight="false" outlineLevel="0" collapsed="false">
      <c r="C265" s="76"/>
    </row>
    <row r="266" customFormat="false" ht="15" hidden="false" customHeight="false" outlineLevel="0" collapsed="false">
      <c r="C266" s="76"/>
    </row>
    <row r="267" customFormat="false" ht="15" hidden="false" customHeight="false" outlineLevel="0" collapsed="false">
      <c r="C267" s="76"/>
    </row>
    <row r="268" customFormat="false" ht="15" hidden="false" customHeight="false" outlineLevel="0" collapsed="false">
      <c r="C268" s="76"/>
    </row>
    <row r="269" customFormat="false" ht="15" hidden="false" customHeight="false" outlineLevel="0" collapsed="false">
      <c r="C269" s="76"/>
    </row>
    <row r="270" customFormat="false" ht="15" hidden="false" customHeight="false" outlineLevel="0" collapsed="false">
      <c r="C270" s="76"/>
    </row>
    <row r="271" customFormat="false" ht="15" hidden="false" customHeight="false" outlineLevel="0" collapsed="false">
      <c r="C271" s="76"/>
    </row>
    <row r="272" customFormat="false" ht="15" hidden="false" customHeight="false" outlineLevel="0" collapsed="false">
      <c r="C272" s="76"/>
    </row>
    <row r="273" customFormat="false" ht="15" hidden="false" customHeight="false" outlineLevel="0" collapsed="false">
      <c r="C273" s="76"/>
    </row>
    <row r="274" customFormat="false" ht="15" hidden="false" customHeight="false" outlineLevel="0" collapsed="false">
      <c r="C274" s="76"/>
    </row>
    <row r="275" customFormat="false" ht="15" hidden="false" customHeight="false" outlineLevel="0" collapsed="false">
      <c r="C275" s="76"/>
    </row>
    <row r="276" customFormat="false" ht="15" hidden="false" customHeight="false" outlineLevel="0" collapsed="false">
      <c r="C276" s="76"/>
    </row>
    <row r="277" customFormat="false" ht="15" hidden="false" customHeight="false" outlineLevel="0" collapsed="false">
      <c r="C277" s="76"/>
    </row>
    <row r="278" customFormat="false" ht="15" hidden="false" customHeight="false" outlineLevel="0" collapsed="false">
      <c r="C278" s="76"/>
    </row>
    <row r="279" customFormat="false" ht="15" hidden="false" customHeight="false" outlineLevel="0" collapsed="false">
      <c r="C279" s="76"/>
    </row>
    <row r="280" customFormat="false" ht="15" hidden="false" customHeight="false" outlineLevel="0" collapsed="false">
      <c r="C280" s="76"/>
    </row>
    <row r="281" customFormat="false" ht="15" hidden="false" customHeight="false" outlineLevel="0" collapsed="false">
      <c r="C281" s="76"/>
    </row>
    <row r="282" customFormat="false" ht="15" hidden="false" customHeight="false" outlineLevel="0" collapsed="false">
      <c r="C282" s="76"/>
    </row>
    <row r="283" customFormat="false" ht="15" hidden="false" customHeight="false" outlineLevel="0" collapsed="false">
      <c r="C283" s="76"/>
    </row>
    <row r="284" customFormat="false" ht="15" hidden="false" customHeight="false" outlineLevel="0" collapsed="false">
      <c r="C284" s="76"/>
    </row>
    <row r="285" customFormat="false" ht="15" hidden="false" customHeight="false" outlineLevel="0" collapsed="false">
      <c r="C285" s="76"/>
    </row>
    <row r="286" customFormat="false" ht="15" hidden="false" customHeight="false" outlineLevel="0" collapsed="false">
      <c r="C286" s="76"/>
    </row>
    <row r="287" customFormat="false" ht="15" hidden="false" customHeight="false" outlineLevel="0" collapsed="false">
      <c r="C287" s="76"/>
    </row>
    <row r="288" customFormat="false" ht="15" hidden="false" customHeight="false" outlineLevel="0" collapsed="false">
      <c r="C288" s="76"/>
    </row>
    <row r="289" customFormat="false" ht="15" hidden="false" customHeight="false" outlineLevel="0" collapsed="false">
      <c r="C289" s="76"/>
    </row>
    <row r="290" customFormat="false" ht="15" hidden="false" customHeight="false" outlineLevel="0" collapsed="false">
      <c r="C290" s="76"/>
    </row>
    <row r="291" customFormat="false" ht="15" hidden="false" customHeight="false" outlineLevel="0" collapsed="false">
      <c r="C291" s="76"/>
    </row>
    <row r="292" customFormat="false" ht="15" hidden="false" customHeight="false" outlineLevel="0" collapsed="false">
      <c r="C292" s="76"/>
    </row>
    <row r="293" customFormat="false" ht="15" hidden="false" customHeight="false" outlineLevel="0" collapsed="false">
      <c r="C293" s="76"/>
    </row>
    <row r="294" customFormat="false" ht="15" hidden="false" customHeight="false" outlineLevel="0" collapsed="false">
      <c r="C294" s="76"/>
    </row>
    <row r="295" customFormat="false" ht="15" hidden="false" customHeight="false" outlineLevel="0" collapsed="false">
      <c r="C295" s="76"/>
    </row>
    <row r="296" customFormat="false" ht="15" hidden="false" customHeight="false" outlineLevel="0" collapsed="false">
      <c r="C296" s="76"/>
    </row>
    <row r="297" customFormat="false" ht="15" hidden="false" customHeight="false" outlineLevel="0" collapsed="false">
      <c r="C297" s="76"/>
    </row>
    <row r="298" customFormat="false" ht="15" hidden="false" customHeight="false" outlineLevel="0" collapsed="false">
      <c r="C298" s="76"/>
    </row>
    <row r="299" customFormat="false" ht="15" hidden="false" customHeight="false" outlineLevel="0" collapsed="false">
      <c r="C299" s="76"/>
    </row>
    <row r="300" customFormat="false" ht="15" hidden="false" customHeight="false" outlineLevel="0" collapsed="false">
      <c r="C300" s="76"/>
    </row>
    <row r="301" customFormat="false" ht="15" hidden="false" customHeight="false" outlineLevel="0" collapsed="false">
      <c r="C301" s="76"/>
    </row>
    <row r="302" customFormat="false" ht="15" hidden="false" customHeight="false" outlineLevel="0" collapsed="false">
      <c r="C302" s="76"/>
    </row>
    <row r="303" customFormat="false" ht="15" hidden="false" customHeight="false" outlineLevel="0" collapsed="false">
      <c r="C303" s="76"/>
    </row>
    <row r="304" customFormat="false" ht="15" hidden="false" customHeight="false" outlineLevel="0" collapsed="false">
      <c r="C304" s="76"/>
    </row>
    <row r="305" customFormat="false" ht="15" hidden="false" customHeight="false" outlineLevel="0" collapsed="false">
      <c r="C305" s="76"/>
    </row>
    <row r="306" customFormat="false" ht="15" hidden="false" customHeight="false" outlineLevel="0" collapsed="false">
      <c r="C306" s="76"/>
    </row>
    <row r="307" customFormat="false" ht="15" hidden="false" customHeight="false" outlineLevel="0" collapsed="false">
      <c r="C307" s="76"/>
    </row>
    <row r="308" customFormat="false" ht="15" hidden="false" customHeight="false" outlineLevel="0" collapsed="false">
      <c r="C308" s="76"/>
    </row>
    <row r="309" customFormat="false" ht="15" hidden="false" customHeight="false" outlineLevel="0" collapsed="false">
      <c r="C309" s="76"/>
    </row>
    <row r="310" customFormat="false" ht="15" hidden="false" customHeight="false" outlineLevel="0" collapsed="false">
      <c r="C310" s="76"/>
    </row>
    <row r="311" customFormat="false" ht="15" hidden="false" customHeight="false" outlineLevel="0" collapsed="false">
      <c r="C311" s="76"/>
    </row>
    <row r="312" customFormat="false" ht="15" hidden="false" customHeight="false" outlineLevel="0" collapsed="false">
      <c r="C312" s="76"/>
    </row>
    <row r="313" customFormat="false" ht="15" hidden="false" customHeight="false" outlineLevel="0" collapsed="false">
      <c r="C313" s="76"/>
    </row>
    <row r="314" customFormat="false" ht="15" hidden="false" customHeight="false" outlineLevel="0" collapsed="false">
      <c r="C314" s="76"/>
    </row>
    <row r="315" customFormat="false" ht="15" hidden="false" customHeight="false" outlineLevel="0" collapsed="false">
      <c r="C315" s="76"/>
    </row>
    <row r="316" customFormat="false" ht="15" hidden="false" customHeight="false" outlineLevel="0" collapsed="false">
      <c r="C316" s="76"/>
    </row>
    <row r="317" customFormat="false" ht="15" hidden="false" customHeight="false" outlineLevel="0" collapsed="false">
      <c r="C317" s="76"/>
    </row>
    <row r="318" customFormat="false" ht="15" hidden="false" customHeight="false" outlineLevel="0" collapsed="false">
      <c r="C318" s="76"/>
    </row>
    <row r="319" customFormat="false" ht="15" hidden="false" customHeight="false" outlineLevel="0" collapsed="false">
      <c r="C319" s="76"/>
    </row>
    <row r="320" customFormat="false" ht="15" hidden="false" customHeight="false" outlineLevel="0" collapsed="false">
      <c r="C320" s="76"/>
    </row>
    <row r="321" customFormat="false" ht="15" hidden="false" customHeight="false" outlineLevel="0" collapsed="false">
      <c r="C321" s="76"/>
    </row>
    <row r="322" customFormat="false" ht="15" hidden="false" customHeight="false" outlineLevel="0" collapsed="false">
      <c r="C322" s="76"/>
    </row>
    <row r="323" customFormat="false" ht="15" hidden="false" customHeight="false" outlineLevel="0" collapsed="false">
      <c r="C323" s="76"/>
    </row>
    <row r="324" customFormat="false" ht="15" hidden="false" customHeight="false" outlineLevel="0" collapsed="false">
      <c r="C324" s="76"/>
    </row>
    <row r="325" customFormat="false" ht="15" hidden="false" customHeight="false" outlineLevel="0" collapsed="false">
      <c r="C325" s="76"/>
    </row>
    <row r="326" customFormat="false" ht="15" hidden="false" customHeight="false" outlineLevel="0" collapsed="false">
      <c r="C326" s="76"/>
    </row>
    <row r="327" customFormat="false" ht="15" hidden="false" customHeight="false" outlineLevel="0" collapsed="false">
      <c r="C327" s="76"/>
    </row>
    <row r="328" customFormat="false" ht="15" hidden="false" customHeight="false" outlineLevel="0" collapsed="false">
      <c r="C328" s="76"/>
    </row>
    <row r="329" customFormat="false" ht="15" hidden="false" customHeight="false" outlineLevel="0" collapsed="false">
      <c r="C329" s="76"/>
    </row>
    <row r="330" customFormat="false" ht="15" hidden="false" customHeight="false" outlineLevel="0" collapsed="false">
      <c r="C330" s="76"/>
    </row>
    <row r="331" customFormat="false" ht="15" hidden="false" customHeight="false" outlineLevel="0" collapsed="false">
      <c r="C331" s="76"/>
    </row>
    <row r="332" customFormat="false" ht="15" hidden="false" customHeight="false" outlineLevel="0" collapsed="false">
      <c r="C332" s="76"/>
    </row>
    <row r="333" customFormat="false" ht="15" hidden="false" customHeight="false" outlineLevel="0" collapsed="false">
      <c r="C333" s="76"/>
    </row>
    <row r="334" customFormat="false" ht="15" hidden="false" customHeight="false" outlineLevel="0" collapsed="false">
      <c r="C334" s="76"/>
    </row>
    <row r="335" customFormat="false" ht="15" hidden="false" customHeight="false" outlineLevel="0" collapsed="false">
      <c r="C335" s="76"/>
    </row>
    <row r="336" customFormat="false" ht="15" hidden="false" customHeight="false" outlineLevel="0" collapsed="false">
      <c r="C336" s="76"/>
    </row>
    <row r="337" customFormat="false" ht="15" hidden="false" customHeight="false" outlineLevel="0" collapsed="false">
      <c r="C337" s="76"/>
    </row>
    <row r="338" customFormat="false" ht="15" hidden="false" customHeight="false" outlineLevel="0" collapsed="false">
      <c r="C338" s="76"/>
    </row>
    <row r="339" customFormat="false" ht="15" hidden="false" customHeight="false" outlineLevel="0" collapsed="false">
      <c r="C339" s="76"/>
    </row>
    <row r="340" customFormat="false" ht="15" hidden="false" customHeight="false" outlineLevel="0" collapsed="false">
      <c r="C340" s="76"/>
    </row>
    <row r="341" customFormat="false" ht="15" hidden="false" customHeight="false" outlineLevel="0" collapsed="false">
      <c r="C341" s="76"/>
    </row>
    <row r="342" customFormat="false" ht="15" hidden="false" customHeight="false" outlineLevel="0" collapsed="false">
      <c r="C342" s="76"/>
    </row>
    <row r="343" customFormat="false" ht="15" hidden="false" customHeight="false" outlineLevel="0" collapsed="false">
      <c r="C343" s="76"/>
    </row>
    <row r="344" customFormat="false" ht="15" hidden="false" customHeight="false" outlineLevel="0" collapsed="false">
      <c r="C344" s="76"/>
    </row>
    <row r="345" customFormat="false" ht="15" hidden="false" customHeight="false" outlineLevel="0" collapsed="false">
      <c r="C345" s="76"/>
    </row>
    <row r="346" customFormat="false" ht="15" hidden="false" customHeight="false" outlineLevel="0" collapsed="false">
      <c r="C346" s="76"/>
    </row>
    <row r="347" customFormat="false" ht="15" hidden="false" customHeight="false" outlineLevel="0" collapsed="false">
      <c r="C347" s="76"/>
    </row>
    <row r="348" customFormat="false" ht="15" hidden="false" customHeight="false" outlineLevel="0" collapsed="false">
      <c r="C348" s="76"/>
    </row>
    <row r="349" customFormat="false" ht="15" hidden="false" customHeight="false" outlineLevel="0" collapsed="false">
      <c r="C349" s="76"/>
    </row>
    <row r="350" customFormat="false" ht="15" hidden="false" customHeight="false" outlineLevel="0" collapsed="false">
      <c r="C350" s="76"/>
    </row>
    <row r="351" customFormat="false" ht="15" hidden="false" customHeight="false" outlineLevel="0" collapsed="false">
      <c r="C351" s="76"/>
    </row>
    <row r="352" customFormat="false" ht="15" hidden="false" customHeight="false" outlineLevel="0" collapsed="false">
      <c r="C352" s="76"/>
    </row>
    <row r="353" customFormat="false" ht="15" hidden="false" customHeight="false" outlineLevel="0" collapsed="false">
      <c r="C353" s="76"/>
    </row>
    <row r="354" customFormat="false" ht="15" hidden="false" customHeight="false" outlineLevel="0" collapsed="false">
      <c r="C354" s="76"/>
    </row>
    <row r="355" customFormat="false" ht="15" hidden="false" customHeight="false" outlineLevel="0" collapsed="false">
      <c r="C355" s="76"/>
    </row>
    <row r="356" customFormat="false" ht="15" hidden="false" customHeight="false" outlineLevel="0" collapsed="false">
      <c r="C356" s="76"/>
    </row>
    <row r="357" customFormat="false" ht="15" hidden="false" customHeight="false" outlineLevel="0" collapsed="false">
      <c r="C357" s="76"/>
    </row>
    <row r="358" customFormat="false" ht="15" hidden="false" customHeight="false" outlineLevel="0" collapsed="false">
      <c r="C358" s="76"/>
    </row>
    <row r="359" customFormat="false" ht="15" hidden="false" customHeight="false" outlineLevel="0" collapsed="false">
      <c r="C359" s="76"/>
    </row>
    <row r="360" customFormat="false" ht="15" hidden="false" customHeight="false" outlineLevel="0" collapsed="false">
      <c r="C360" s="76"/>
    </row>
    <row r="361" customFormat="false" ht="15" hidden="false" customHeight="false" outlineLevel="0" collapsed="false">
      <c r="C361" s="76"/>
    </row>
    <row r="362" customFormat="false" ht="15" hidden="false" customHeight="false" outlineLevel="0" collapsed="false">
      <c r="C362" s="76"/>
    </row>
    <row r="363" customFormat="false" ht="15" hidden="false" customHeight="false" outlineLevel="0" collapsed="false">
      <c r="C363" s="76"/>
    </row>
    <row r="364" customFormat="false" ht="15" hidden="false" customHeight="false" outlineLevel="0" collapsed="false">
      <c r="C364" s="76"/>
    </row>
    <row r="365" customFormat="false" ht="15" hidden="false" customHeight="false" outlineLevel="0" collapsed="false">
      <c r="C365" s="76"/>
    </row>
    <row r="366" customFormat="false" ht="15" hidden="false" customHeight="false" outlineLevel="0" collapsed="false">
      <c r="C366" s="76"/>
    </row>
    <row r="367" customFormat="false" ht="15" hidden="false" customHeight="false" outlineLevel="0" collapsed="false">
      <c r="C367" s="76"/>
    </row>
    <row r="368" customFormat="false" ht="15" hidden="false" customHeight="false" outlineLevel="0" collapsed="false">
      <c r="C368" s="76"/>
    </row>
    <row r="369" customFormat="false" ht="15" hidden="false" customHeight="false" outlineLevel="0" collapsed="false">
      <c r="C369" s="76"/>
    </row>
    <row r="370" customFormat="false" ht="15" hidden="false" customHeight="false" outlineLevel="0" collapsed="false">
      <c r="C370" s="76"/>
    </row>
    <row r="371" customFormat="false" ht="15" hidden="false" customHeight="false" outlineLevel="0" collapsed="false">
      <c r="C371" s="76"/>
    </row>
    <row r="372" customFormat="false" ht="15" hidden="false" customHeight="false" outlineLevel="0" collapsed="false">
      <c r="C372" s="76"/>
    </row>
    <row r="373" customFormat="false" ht="15" hidden="false" customHeight="false" outlineLevel="0" collapsed="false">
      <c r="C373" s="76"/>
    </row>
    <row r="374" customFormat="false" ht="15" hidden="false" customHeight="false" outlineLevel="0" collapsed="false">
      <c r="C374" s="76"/>
    </row>
    <row r="375" customFormat="false" ht="15" hidden="false" customHeight="false" outlineLevel="0" collapsed="false">
      <c r="C375" s="76"/>
    </row>
    <row r="376" customFormat="false" ht="15" hidden="false" customHeight="false" outlineLevel="0" collapsed="false">
      <c r="C376" s="76"/>
    </row>
    <row r="377" customFormat="false" ht="15" hidden="false" customHeight="false" outlineLevel="0" collapsed="false">
      <c r="C377" s="76"/>
    </row>
    <row r="378" customFormat="false" ht="15" hidden="false" customHeight="false" outlineLevel="0" collapsed="false">
      <c r="C378" s="76"/>
    </row>
    <row r="379" customFormat="false" ht="15" hidden="false" customHeight="false" outlineLevel="0" collapsed="false">
      <c r="C379" s="76"/>
    </row>
    <row r="380" customFormat="false" ht="15" hidden="false" customHeight="false" outlineLevel="0" collapsed="false">
      <c r="C380" s="76"/>
    </row>
    <row r="381" customFormat="false" ht="15" hidden="false" customHeight="false" outlineLevel="0" collapsed="false">
      <c r="C381" s="76"/>
    </row>
    <row r="382" customFormat="false" ht="15" hidden="false" customHeight="false" outlineLevel="0" collapsed="false">
      <c r="C382" s="76"/>
    </row>
    <row r="383" customFormat="false" ht="15" hidden="false" customHeight="false" outlineLevel="0" collapsed="false">
      <c r="C383" s="76"/>
    </row>
    <row r="384" customFormat="false" ht="15" hidden="false" customHeight="false" outlineLevel="0" collapsed="false">
      <c r="C384" s="76"/>
    </row>
    <row r="385" customFormat="false" ht="15" hidden="false" customHeight="false" outlineLevel="0" collapsed="false">
      <c r="C385" s="76"/>
    </row>
    <row r="386" customFormat="false" ht="15" hidden="false" customHeight="false" outlineLevel="0" collapsed="false">
      <c r="C386" s="76"/>
    </row>
    <row r="387" customFormat="false" ht="15" hidden="false" customHeight="false" outlineLevel="0" collapsed="false">
      <c r="C387" s="76"/>
    </row>
    <row r="388" customFormat="false" ht="15" hidden="false" customHeight="false" outlineLevel="0" collapsed="false">
      <c r="C388" s="76"/>
    </row>
    <row r="389" customFormat="false" ht="15" hidden="false" customHeight="false" outlineLevel="0" collapsed="false">
      <c r="C389" s="76"/>
    </row>
    <row r="390" customFormat="false" ht="15" hidden="false" customHeight="false" outlineLevel="0" collapsed="false">
      <c r="C390" s="76"/>
    </row>
    <row r="391" customFormat="false" ht="15" hidden="false" customHeight="false" outlineLevel="0" collapsed="false">
      <c r="C391" s="76"/>
    </row>
    <row r="392" customFormat="false" ht="15" hidden="false" customHeight="false" outlineLevel="0" collapsed="false">
      <c r="C392" s="76"/>
    </row>
    <row r="393" customFormat="false" ht="15" hidden="false" customHeight="false" outlineLevel="0" collapsed="false">
      <c r="C393" s="76"/>
    </row>
    <row r="394" customFormat="false" ht="15" hidden="false" customHeight="false" outlineLevel="0" collapsed="false">
      <c r="C394" s="76"/>
    </row>
    <row r="395" customFormat="false" ht="15" hidden="false" customHeight="false" outlineLevel="0" collapsed="false">
      <c r="C395" s="76"/>
    </row>
    <row r="396" customFormat="false" ht="15" hidden="false" customHeight="false" outlineLevel="0" collapsed="false">
      <c r="C396" s="76"/>
    </row>
    <row r="397" customFormat="false" ht="15" hidden="false" customHeight="false" outlineLevel="0" collapsed="false">
      <c r="C397" s="76"/>
    </row>
    <row r="398" customFormat="false" ht="15" hidden="false" customHeight="false" outlineLevel="0" collapsed="false">
      <c r="C398" s="76"/>
    </row>
    <row r="399" customFormat="false" ht="15" hidden="false" customHeight="false" outlineLevel="0" collapsed="false">
      <c r="C399" s="76"/>
    </row>
    <row r="400" customFormat="false" ht="15" hidden="false" customHeight="false" outlineLevel="0" collapsed="false">
      <c r="C400" s="76"/>
    </row>
    <row r="401" customFormat="false" ht="15" hidden="false" customHeight="false" outlineLevel="0" collapsed="false">
      <c r="C401" s="76"/>
    </row>
    <row r="402" customFormat="false" ht="15" hidden="false" customHeight="false" outlineLevel="0" collapsed="false">
      <c r="C402" s="76"/>
    </row>
    <row r="403" customFormat="false" ht="15" hidden="false" customHeight="false" outlineLevel="0" collapsed="false">
      <c r="C403" s="76"/>
    </row>
    <row r="404" customFormat="false" ht="15" hidden="false" customHeight="false" outlineLevel="0" collapsed="false">
      <c r="C404" s="76"/>
    </row>
    <row r="405" customFormat="false" ht="15" hidden="false" customHeight="false" outlineLevel="0" collapsed="false">
      <c r="C405" s="76"/>
    </row>
    <row r="406" customFormat="false" ht="15" hidden="false" customHeight="false" outlineLevel="0" collapsed="false">
      <c r="C406" s="76"/>
    </row>
    <row r="407" customFormat="false" ht="15" hidden="false" customHeight="false" outlineLevel="0" collapsed="false">
      <c r="C407" s="76"/>
    </row>
    <row r="408" customFormat="false" ht="15" hidden="false" customHeight="false" outlineLevel="0" collapsed="false">
      <c r="C408" s="76"/>
    </row>
    <row r="409" customFormat="false" ht="15" hidden="false" customHeight="false" outlineLevel="0" collapsed="false">
      <c r="C409" s="76"/>
    </row>
    <row r="410" customFormat="false" ht="15" hidden="false" customHeight="false" outlineLevel="0" collapsed="false">
      <c r="C410" s="76"/>
    </row>
    <row r="411" customFormat="false" ht="15" hidden="false" customHeight="false" outlineLevel="0" collapsed="false">
      <c r="C411" s="76"/>
    </row>
    <row r="412" customFormat="false" ht="15" hidden="false" customHeight="false" outlineLevel="0" collapsed="false">
      <c r="C412" s="76"/>
    </row>
    <row r="413" customFormat="false" ht="15" hidden="false" customHeight="false" outlineLevel="0" collapsed="false">
      <c r="C413" s="76"/>
    </row>
    <row r="414" customFormat="false" ht="15" hidden="false" customHeight="false" outlineLevel="0" collapsed="false">
      <c r="C414" s="76"/>
    </row>
    <row r="415" customFormat="false" ht="15" hidden="false" customHeight="false" outlineLevel="0" collapsed="false">
      <c r="C415" s="76"/>
    </row>
    <row r="416" customFormat="false" ht="15" hidden="false" customHeight="false" outlineLevel="0" collapsed="false">
      <c r="C416" s="76"/>
    </row>
    <row r="417" customFormat="false" ht="15" hidden="false" customHeight="false" outlineLevel="0" collapsed="false">
      <c r="C417" s="76"/>
    </row>
    <row r="418" customFormat="false" ht="15" hidden="false" customHeight="false" outlineLevel="0" collapsed="false">
      <c r="C418" s="76"/>
    </row>
    <row r="419" customFormat="false" ht="15" hidden="false" customHeight="false" outlineLevel="0" collapsed="false">
      <c r="C419" s="76"/>
    </row>
    <row r="420" customFormat="false" ht="15" hidden="false" customHeight="false" outlineLevel="0" collapsed="false">
      <c r="C420" s="76"/>
    </row>
    <row r="421" customFormat="false" ht="15" hidden="false" customHeight="false" outlineLevel="0" collapsed="false">
      <c r="C421" s="76"/>
    </row>
    <row r="422" customFormat="false" ht="15" hidden="false" customHeight="false" outlineLevel="0" collapsed="false">
      <c r="C422" s="76"/>
    </row>
    <row r="423" customFormat="false" ht="15" hidden="false" customHeight="false" outlineLevel="0" collapsed="false">
      <c r="C423" s="76"/>
    </row>
    <row r="424" customFormat="false" ht="15" hidden="false" customHeight="false" outlineLevel="0" collapsed="false">
      <c r="C424" s="76"/>
    </row>
    <row r="425" customFormat="false" ht="15" hidden="false" customHeight="false" outlineLevel="0" collapsed="false">
      <c r="C425" s="76"/>
    </row>
    <row r="426" customFormat="false" ht="15" hidden="false" customHeight="false" outlineLevel="0" collapsed="false">
      <c r="C426" s="76"/>
    </row>
    <row r="427" customFormat="false" ht="15" hidden="false" customHeight="false" outlineLevel="0" collapsed="false">
      <c r="C427" s="76"/>
    </row>
    <row r="428" customFormat="false" ht="15" hidden="false" customHeight="false" outlineLevel="0" collapsed="false">
      <c r="C428" s="76"/>
    </row>
    <row r="429" customFormat="false" ht="15" hidden="false" customHeight="false" outlineLevel="0" collapsed="false">
      <c r="C429" s="76"/>
    </row>
    <row r="430" customFormat="false" ht="15" hidden="false" customHeight="false" outlineLevel="0" collapsed="false">
      <c r="C430" s="76"/>
    </row>
    <row r="431" customFormat="false" ht="15" hidden="false" customHeight="false" outlineLevel="0" collapsed="false">
      <c r="C431" s="76"/>
    </row>
    <row r="432" customFormat="false" ht="15" hidden="false" customHeight="false" outlineLevel="0" collapsed="false">
      <c r="C432" s="76"/>
    </row>
    <row r="433" customFormat="false" ht="15" hidden="false" customHeight="false" outlineLevel="0" collapsed="false">
      <c r="C433" s="76"/>
    </row>
    <row r="434" customFormat="false" ht="15" hidden="false" customHeight="false" outlineLevel="0" collapsed="false">
      <c r="C434" s="76"/>
    </row>
    <row r="435" customFormat="false" ht="15" hidden="false" customHeight="false" outlineLevel="0" collapsed="false">
      <c r="C435" s="76"/>
    </row>
    <row r="436" customFormat="false" ht="15" hidden="false" customHeight="false" outlineLevel="0" collapsed="false">
      <c r="C436" s="76"/>
    </row>
    <row r="437" customFormat="false" ht="15" hidden="false" customHeight="false" outlineLevel="0" collapsed="false">
      <c r="C437" s="76"/>
    </row>
    <row r="438" customFormat="false" ht="15" hidden="false" customHeight="false" outlineLevel="0" collapsed="false">
      <c r="C438" s="76"/>
    </row>
    <row r="439" customFormat="false" ht="15" hidden="false" customHeight="false" outlineLevel="0" collapsed="false">
      <c r="C439" s="76"/>
    </row>
    <row r="440" customFormat="false" ht="15" hidden="false" customHeight="false" outlineLevel="0" collapsed="false">
      <c r="C440" s="76"/>
    </row>
    <row r="441" customFormat="false" ht="15" hidden="false" customHeight="false" outlineLevel="0" collapsed="false">
      <c r="C441" s="76"/>
    </row>
    <row r="442" customFormat="false" ht="15" hidden="false" customHeight="false" outlineLevel="0" collapsed="false">
      <c r="C442" s="76"/>
    </row>
    <row r="443" customFormat="false" ht="15" hidden="false" customHeight="false" outlineLevel="0" collapsed="false">
      <c r="C443" s="76"/>
    </row>
    <row r="444" customFormat="false" ht="15" hidden="false" customHeight="false" outlineLevel="0" collapsed="false">
      <c r="C444" s="76"/>
    </row>
    <row r="445" customFormat="false" ht="15" hidden="false" customHeight="false" outlineLevel="0" collapsed="false">
      <c r="C445" s="76"/>
    </row>
    <row r="446" customFormat="false" ht="15" hidden="false" customHeight="false" outlineLevel="0" collapsed="false">
      <c r="C446" s="76"/>
    </row>
    <row r="447" customFormat="false" ht="15" hidden="false" customHeight="false" outlineLevel="0" collapsed="false">
      <c r="C447" s="76"/>
    </row>
    <row r="448" customFormat="false" ht="15" hidden="false" customHeight="false" outlineLevel="0" collapsed="false">
      <c r="C448" s="76"/>
    </row>
    <row r="449" customFormat="false" ht="15" hidden="false" customHeight="false" outlineLevel="0" collapsed="false">
      <c r="C449" s="76"/>
    </row>
    <row r="450" customFormat="false" ht="15" hidden="false" customHeight="false" outlineLevel="0" collapsed="false">
      <c r="C450" s="76"/>
    </row>
    <row r="451" customFormat="false" ht="15" hidden="false" customHeight="false" outlineLevel="0" collapsed="false">
      <c r="C451" s="76"/>
    </row>
    <row r="452" customFormat="false" ht="15" hidden="false" customHeight="false" outlineLevel="0" collapsed="false">
      <c r="C452" s="76"/>
    </row>
    <row r="453" customFormat="false" ht="15" hidden="false" customHeight="false" outlineLevel="0" collapsed="false">
      <c r="C453" s="76"/>
    </row>
    <row r="454" customFormat="false" ht="15" hidden="false" customHeight="false" outlineLevel="0" collapsed="false">
      <c r="C454" s="76"/>
    </row>
    <row r="455" customFormat="false" ht="15" hidden="false" customHeight="false" outlineLevel="0" collapsed="false">
      <c r="C455" s="76"/>
    </row>
    <row r="456" customFormat="false" ht="15" hidden="false" customHeight="false" outlineLevel="0" collapsed="false">
      <c r="C456" s="76"/>
    </row>
    <row r="457" customFormat="false" ht="15" hidden="false" customHeight="false" outlineLevel="0" collapsed="false">
      <c r="C457" s="76"/>
    </row>
    <row r="458" customFormat="false" ht="15" hidden="false" customHeight="false" outlineLevel="0" collapsed="false">
      <c r="C458" s="76"/>
    </row>
    <row r="459" customFormat="false" ht="15" hidden="false" customHeight="false" outlineLevel="0" collapsed="false">
      <c r="C459" s="76"/>
    </row>
    <row r="460" customFormat="false" ht="15" hidden="false" customHeight="false" outlineLevel="0" collapsed="false">
      <c r="C460" s="76"/>
    </row>
    <row r="461" customFormat="false" ht="15" hidden="false" customHeight="false" outlineLevel="0" collapsed="false">
      <c r="C461" s="76"/>
    </row>
    <row r="462" customFormat="false" ht="15" hidden="false" customHeight="false" outlineLevel="0" collapsed="false">
      <c r="C462" s="76"/>
    </row>
    <row r="463" customFormat="false" ht="15" hidden="false" customHeight="false" outlineLevel="0" collapsed="false">
      <c r="C463" s="76"/>
    </row>
    <row r="464" customFormat="false" ht="15" hidden="false" customHeight="false" outlineLevel="0" collapsed="false">
      <c r="C464" s="76"/>
    </row>
    <row r="465" customFormat="false" ht="15" hidden="false" customHeight="false" outlineLevel="0" collapsed="false">
      <c r="C465" s="76"/>
    </row>
    <row r="466" customFormat="false" ht="15" hidden="false" customHeight="false" outlineLevel="0" collapsed="false">
      <c r="C466" s="76"/>
    </row>
    <row r="467" customFormat="false" ht="15" hidden="false" customHeight="false" outlineLevel="0" collapsed="false">
      <c r="C467" s="76"/>
    </row>
    <row r="468" customFormat="false" ht="15" hidden="false" customHeight="false" outlineLevel="0" collapsed="false">
      <c r="C468" s="76"/>
    </row>
    <row r="469" customFormat="false" ht="15" hidden="false" customHeight="false" outlineLevel="0" collapsed="false">
      <c r="C469" s="76"/>
    </row>
    <row r="470" customFormat="false" ht="15" hidden="false" customHeight="false" outlineLevel="0" collapsed="false">
      <c r="C470" s="76"/>
    </row>
    <row r="471" customFormat="false" ht="15" hidden="false" customHeight="false" outlineLevel="0" collapsed="false">
      <c r="C471" s="76"/>
    </row>
    <row r="472" customFormat="false" ht="15" hidden="false" customHeight="false" outlineLevel="0" collapsed="false">
      <c r="C472" s="76"/>
    </row>
    <row r="473" customFormat="false" ht="15" hidden="false" customHeight="false" outlineLevel="0" collapsed="false">
      <c r="C473" s="76"/>
    </row>
    <row r="474" customFormat="false" ht="15" hidden="false" customHeight="false" outlineLevel="0" collapsed="false">
      <c r="C474" s="76"/>
    </row>
    <row r="475" customFormat="false" ht="15" hidden="false" customHeight="false" outlineLevel="0" collapsed="false">
      <c r="C475" s="76"/>
    </row>
    <row r="476" customFormat="false" ht="15" hidden="false" customHeight="false" outlineLevel="0" collapsed="false">
      <c r="C476" s="76"/>
    </row>
    <row r="477" customFormat="false" ht="15" hidden="false" customHeight="false" outlineLevel="0" collapsed="false">
      <c r="C477" s="76"/>
    </row>
    <row r="478" customFormat="false" ht="15" hidden="false" customHeight="false" outlineLevel="0" collapsed="false">
      <c r="C478" s="76"/>
    </row>
    <row r="479" customFormat="false" ht="15" hidden="false" customHeight="false" outlineLevel="0" collapsed="false">
      <c r="C479" s="76"/>
    </row>
    <row r="480" customFormat="false" ht="15" hidden="false" customHeight="false" outlineLevel="0" collapsed="false">
      <c r="C480" s="76"/>
    </row>
    <row r="481" customFormat="false" ht="15" hidden="false" customHeight="false" outlineLevel="0" collapsed="false">
      <c r="C481" s="76"/>
    </row>
    <row r="482" customFormat="false" ht="15" hidden="false" customHeight="false" outlineLevel="0" collapsed="false">
      <c r="C482" s="76"/>
    </row>
    <row r="483" customFormat="false" ht="15" hidden="false" customHeight="false" outlineLevel="0" collapsed="false">
      <c r="C483" s="76"/>
    </row>
    <row r="484" customFormat="false" ht="15" hidden="false" customHeight="false" outlineLevel="0" collapsed="false">
      <c r="C484" s="76"/>
    </row>
    <row r="485" customFormat="false" ht="15" hidden="false" customHeight="false" outlineLevel="0" collapsed="false">
      <c r="C485" s="76"/>
    </row>
    <row r="486" customFormat="false" ht="15" hidden="false" customHeight="false" outlineLevel="0" collapsed="false">
      <c r="C486" s="76"/>
    </row>
    <row r="487" customFormat="false" ht="15" hidden="false" customHeight="false" outlineLevel="0" collapsed="false">
      <c r="C487" s="76"/>
    </row>
    <row r="488" customFormat="false" ht="15" hidden="false" customHeight="false" outlineLevel="0" collapsed="false">
      <c r="C488" s="76"/>
    </row>
    <row r="489" customFormat="false" ht="15" hidden="false" customHeight="false" outlineLevel="0" collapsed="false">
      <c r="C489" s="76"/>
    </row>
    <row r="490" customFormat="false" ht="15" hidden="false" customHeight="false" outlineLevel="0" collapsed="false">
      <c r="C490" s="76"/>
    </row>
    <row r="491" customFormat="false" ht="15" hidden="false" customHeight="false" outlineLevel="0" collapsed="false">
      <c r="C491" s="76"/>
    </row>
    <row r="492" customFormat="false" ht="15" hidden="false" customHeight="false" outlineLevel="0" collapsed="false">
      <c r="C492" s="76"/>
    </row>
    <row r="493" customFormat="false" ht="15" hidden="false" customHeight="false" outlineLevel="0" collapsed="false">
      <c r="C493" s="76"/>
    </row>
    <row r="494" customFormat="false" ht="15" hidden="false" customHeight="false" outlineLevel="0" collapsed="false">
      <c r="C494" s="76"/>
    </row>
    <row r="495" customFormat="false" ht="15" hidden="false" customHeight="false" outlineLevel="0" collapsed="false">
      <c r="C495" s="76"/>
    </row>
    <row r="496" customFormat="false" ht="15" hidden="false" customHeight="false" outlineLevel="0" collapsed="false">
      <c r="C496" s="76"/>
    </row>
    <row r="497" customFormat="false" ht="15" hidden="false" customHeight="false" outlineLevel="0" collapsed="false">
      <c r="C497" s="76"/>
    </row>
    <row r="498" customFormat="false" ht="15" hidden="false" customHeight="false" outlineLevel="0" collapsed="false">
      <c r="C498" s="76"/>
    </row>
    <row r="499" customFormat="false" ht="15" hidden="false" customHeight="false" outlineLevel="0" collapsed="false">
      <c r="C499" s="76"/>
    </row>
    <row r="500" customFormat="false" ht="15" hidden="false" customHeight="false" outlineLevel="0" collapsed="false">
      <c r="C500" s="76"/>
    </row>
    <row r="501" customFormat="false" ht="15" hidden="false" customHeight="false" outlineLevel="0" collapsed="false">
      <c r="C501" s="76"/>
    </row>
    <row r="502" customFormat="false" ht="15" hidden="false" customHeight="false" outlineLevel="0" collapsed="false">
      <c r="C502" s="76"/>
    </row>
    <row r="503" customFormat="false" ht="15" hidden="false" customHeight="false" outlineLevel="0" collapsed="false">
      <c r="C503" s="76"/>
    </row>
    <row r="504" customFormat="false" ht="15" hidden="false" customHeight="false" outlineLevel="0" collapsed="false">
      <c r="C504" s="76"/>
    </row>
    <row r="505" customFormat="false" ht="15" hidden="false" customHeight="false" outlineLevel="0" collapsed="false">
      <c r="C505" s="76"/>
    </row>
    <row r="506" customFormat="false" ht="15" hidden="false" customHeight="false" outlineLevel="0" collapsed="false">
      <c r="C506" s="76"/>
    </row>
    <row r="507" customFormat="false" ht="15" hidden="false" customHeight="false" outlineLevel="0" collapsed="false">
      <c r="C507" s="76"/>
    </row>
    <row r="508" customFormat="false" ht="15" hidden="false" customHeight="false" outlineLevel="0" collapsed="false">
      <c r="C508" s="76"/>
    </row>
    <row r="509" customFormat="false" ht="15" hidden="false" customHeight="false" outlineLevel="0" collapsed="false">
      <c r="C509" s="76"/>
    </row>
    <row r="510" customFormat="false" ht="15" hidden="false" customHeight="false" outlineLevel="0" collapsed="false">
      <c r="C510" s="76"/>
    </row>
    <row r="511" customFormat="false" ht="15" hidden="false" customHeight="false" outlineLevel="0" collapsed="false">
      <c r="C511" s="76"/>
    </row>
    <row r="512" customFormat="false" ht="15" hidden="false" customHeight="false" outlineLevel="0" collapsed="false">
      <c r="C512" s="76"/>
    </row>
    <row r="513" customFormat="false" ht="15" hidden="false" customHeight="false" outlineLevel="0" collapsed="false">
      <c r="C513" s="76"/>
    </row>
    <row r="514" customFormat="false" ht="15" hidden="false" customHeight="false" outlineLevel="0" collapsed="false">
      <c r="C514" s="76"/>
    </row>
    <row r="515" customFormat="false" ht="15" hidden="false" customHeight="false" outlineLevel="0" collapsed="false">
      <c r="C515" s="76"/>
    </row>
    <row r="516" customFormat="false" ht="15" hidden="false" customHeight="false" outlineLevel="0" collapsed="false">
      <c r="C516" s="76"/>
    </row>
    <row r="517" customFormat="false" ht="15" hidden="false" customHeight="false" outlineLevel="0" collapsed="false">
      <c r="C517" s="76"/>
    </row>
    <row r="518" customFormat="false" ht="15" hidden="false" customHeight="false" outlineLevel="0" collapsed="false">
      <c r="C518" s="76"/>
    </row>
    <row r="519" customFormat="false" ht="15" hidden="false" customHeight="false" outlineLevel="0" collapsed="false">
      <c r="C519" s="76"/>
    </row>
    <row r="520" customFormat="false" ht="15" hidden="false" customHeight="false" outlineLevel="0" collapsed="false">
      <c r="C520" s="76"/>
    </row>
    <row r="521" customFormat="false" ht="15" hidden="false" customHeight="false" outlineLevel="0" collapsed="false">
      <c r="C521" s="76"/>
    </row>
    <row r="522" customFormat="false" ht="15" hidden="false" customHeight="false" outlineLevel="0" collapsed="false">
      <c r="C522" s="76"/>
    </row>
    <row r="523" customFormat="false" ht="15" hidden="false" customHeight="false" outlineLevel="0" collapsed="false">
      <c r="C523" s="76"/>
    </row>
    <row r="524" customFormat="false" ht="15" hidden="false" customHeight="false" outlineLevel="0" collapsed="false">
      <c r="C524" s="76"/>
    </row>
    <row r="525" customFormat="false" ht="15" hidden="false" customHeight="false" outlineLevel="0" collapsed="false">
      <c r="C525" s="76"/>
    </row>
    <row r="526" customFormat="false" ht="15" hidden="false" customHeight="false" outlineLevel="0" collapsed="false">
      <c r="C526" s="76"/>
    </row>
    <row r="527" customFormat="false" ht="15" hidden="false" customHeight="false" outlineLevel="0" collapsed="false">
      <c r="C527" s="76"/>
    </row>
    <row r="528" customFormat="false" ht="15" hidden="false" customHeight="false" outlineLevel="0" collapsed="false">
      <c r="C528" s="76"/>
    </row>
    <row r="529" customFormat="false" ht="15" hidden="false" customHeight="false" outlineLevel="0" collapsed="false">
      <c r="C529" s="76"/>
    </row>
    <row r="530" customFormat="false" ht="15" hidden="false" customHeight="false" outlineLevel="0" collapsed="false">
      <c r="C530" s="76"/>
    </row>
    <row r="531" customFormat="false" ht="15" hidden="false" customHeight="false" outlineLevel="0" collapsed="false">
      <c r="C531" s="76"/>
    </row>
    <row r="532" customFormat="false" ht="15" hidden="false" customHeight="false" outlineLevel="0" collapsed="false">
      <c r="C532" s="76"/>
    </row>
    <row r="533" customFormat="false" ht="15" hidden="false" customHeight="false" outlineLevel="0" collapsed="false">
      <c r="C533" s="76"/>
    </row>
    <row r="534" customFormat="false" ht="15" hidden="false" customHeight="false" outlineLevel="0" collapsed="false">
      <c r="C534" s="76"/>
    </row>
    <row r="535" customFormat="false" ht="15" hidden="false" customHeight="false" outlineLevel="0" collapsed="false">
      <c r="C535" s="76"/>
    </row>
    <row r="536" customFormat="false" ht="15" hidden="false" customHeight="false" outlineLevel="0" collapsed="false">
      <c r="C536" s="76"/>
    </row>
    <row r="537" customFormat="false" ht="15" hidden="false" customHeight="false" outlineLevel="0" collapsed="false">
      <c r="C537" s="76"/>
    </row>
    <row r="538" customFormat="false" ht="15" hidden="false" customHeight="false" outlineLevel="0" collapsed="false">
      <c r="C538" s="76"/>
    </row>
    <row r="539" customFormat="false" ht="15" hidden="false" customHeight="false" outlineLevel="0" collapsed="false">
      <c r="C539" s="76"/>
    </row>
    <row r="540" customFormat="false" ht="15" hidden="false" customHeight="false" outlineLevel="0" collapsed="false">
      <c r="C540" s="76"/>
    </row>
    <row r="541" customFormat="false" ht="15" hidden="false" customHeight="false" outlineLevel="0" collapsed="false">
      <c r="C541" s="76"/>
    </row>
    <row r="542" customFormat="false" ht="15" hidden="false" customHeight="false" outlineLevel="0" collapsed="false">
      <c r="C542" s="76"/>
    </row>
    <row r="543" customFormat="false" ht="15" hidden="false" customHeight="false" outlineLevel="0" collapsed="false">
      <c r="C543" s="76"/>
    </row>
    <row r="544" customFormat="false" ht="15" hidden="false" customHeight="false" outlineLevel="0" collapsed="false">
      <c r="C544" s="76"/>
    </row>
    <row r="545" customFormat="false" ht="15" hidden="false" customHeight="false" outlineLevel="0" collapsed="false">
      <c r="C545" s="76"/>
    </row>
    <row r="546" customFormat="false" ht="15" hidden="false" customHeight="false" outlineLevel="0" collapsed="false">
      <c r="C546" s="76"/>
    </row>
    <row r="547" customFormat="false" ht="15" hidden="false" customHeight="false" outlineLevel="0" collapsed="false">
      <c r="C547" s="76"/>
    </row>
    <row r="548" customFormat="false" ht="15" hidden="false" customHeight="false" outlineLevel="0" collapsed="false">
      <c r="C548" s="76"/>
    </row>
    <row r="549" customFormat="false" ht="15" hidden="false" customHeight="false" outlineLevel="0" collapsed="false">
      <c r="C549" s="76"/>
    </row>
    <row r="550" customFormat="false" ht="15" hidden="false" customHeight="false" outlineLevel="0" collapsed="false">
      <c r="C550" s="76"/>
    </row>
    <row r="551" customFormat="false" ht="15" hidden="false" customHeight="false" outlineLevel="0" collapsed="false">
      <c r="C551" s="76"/>
    </row>
    <row r="552" customFormat="false" ht="15" hidden="false" customHeight="false" outlineLevel="0" collapsed="false">
      <c r="C552" s="76"/>
    </row>
    <row r="553" customFormat="false" ht="15" hidden="false" customHeight="false" outlineLevel="0" collapsed="false">
      <c r="C553" s="76"/>
    </row>
    <row r="554" customFormat="false" ht="15" hidden="false" customHeight="false" outlineLevel="0" collapsed="false">
      <c r="C554" s="76"/>
    </row>
    <row r="555" customFormat="false" ht="15" hidden="false" customHeight="false" outlineLevel="0" collapsed="false">
      <c r="C555" s="76"/>
    </row>
    <row r="556" customFormat="false" ht="15" hidden="false" customHeight="false" outlineLevel="0" collapsed="false">
      <c r="C556" s="76"/>
    </row>
    <row r="557" customFormat="false" ht="15" hidden="false" customHeight="false" outlineLevel="0" collapsed="false">
      <c r="C557" s="76"/>
    </row>
    <row r="558" customFormat="false" ht="15" hidden="false" customHeight="false" outlineLevel="0" collapsed="false">
      <c r="C558" s="76"/>
    </row>
    <row r="559" customFormat="false" ht="15" hidden="false" customHeight="false" outlineLevel="0" collapsed="false">
      <c r="C559" s="76"/>
    </row>
    <row r="560" customFormat="false" ht="15" hidden="false" customHeight="false" outlineLevel="0" collapsed="false">
      <c r="C560" s="76"/>
    </row>
    <row r="561" customFormat="false" ht="15" hidden="false" customHeight="false" outlineLevel="0" collapsed="false">
      <c r="C561" s="76"/>
    </row>
    <row r="562" customFormat="false" ht="15" hidden="false" customHeight="false" outlineLevel="0" collapsed="false">
      <c r="C562" s="76"/>
    </row>
    <row r="563" customFormat="false" ht="15" hidden="false" customHeight="false" outlineLevel="0" collapsed="false">
      <c r="C563" s="76"/>
    </row>
    <row r="564" customFormat="false" ht="15" hidden="false" customHeight="false" outlineLevel="0" collapsed="false">
      <c r="C564" s="76"/>
    </row>
    <row r="565" customFormat="false" ht="15" hidden="false" customHeight="false" outlineLevel="0" collapsed="false">
      <c r="C565" s="76"/>
    </row>
    <row r="566" customFormat="false" ht="15" hidden="false" customHeight="false" outlineLevel="0" collapsed="false">
      <c r="C566" s="76"/>
    </row>
    <row r="567" customFormat="false" ht="15" hidden="false" customHeight="false" outlineLevel="0" collapsed="false">
      <c r="C567" s="76"/>
    </row>
    <row r="568" customFormat="false" ht="15" hidden="false" customHeight="false" outlineLevel="0" collapsed="false">
      <c r="C568" s="76"/>
    </row>
    <row r="569" customFormat="false" ht="15" hidden="false" customHeight="false" outlineLevel="0" collapsed="false">
      <c r="C569" s="76"/>
    </row>
    <row r="570" customFormat="false" ht="15" hidden="false" customHeight="false" outlineLevel="0" collapsed="false">
      <c r="C570" s="76"/>
    </row>
    <row r="571" customFormat="false" ht="15" hidden="false" customHeight="false" outlineLevel="0" collapsed="false">
      <c r="C571" s="76"/>
    </row>
    <row r="572" customFormat="false" ht="15" hidden="false" customHeight="false" outlineLevel="0" collapsed="false">
      <c r="C572" s="76"/>
    </row>
    <row r="573" customFormat="false" ht="15" hidden="false" customHeight="false" outlineLevel="0" collapsed="false">
      <c r="C573" s="76"/>
    </row>
    <row r="574" customFormat="false" ht="15" hidden="false" customHeight="false" outlineLevel="0" collapsed="false">
      <c r="C574" s="76"/>
    </row>
    <row r="575" customFormat="false" ht="15" hidden="false" customHeight="false" outlineLevel="0" collapsed="false">
      <c r="C575" s="76"/>
    </row>
    <row r="576" customFormat="false" ht="15" hidden="false" customHeight="false" outlineLevel="0" collapsed="false">
      <c r="C576" s="76"/>
    </row>
    <row r="577" customFormat="false" ht="15" hidden="false" customHeight="false" outlineLevel="0" collapsed="false">
      <c r="C577" s="76"/>
    </row>
    <row r="578" customFormat="false" ht="15" hidden="false" customHeight="false" outlineLevel="0" collapsed="false">
      <c r="C578" s="76"/>
    </row>
    <row r="579" customFormat="false" ht="15" hidden="false" customHeight="false" outlineLevel="0" collapsed="false">
      <c r="C579" s="76"/>
    </row>
    <row r="580" customFormat="false" ht="15" hidden="false" customHeight="false" outlineLevel="0" collapsed="false">
      <c r="C580" s="76"/>
    </row>
    <row r="581" customFormat="false" ht="15" hidden="false" customHeight="false" outlineLevel="0" collapsed="false">
      <c r="C581" s="76"/>
    </row>
    <row r="582" customFormat="false" ht="15" hidden="false" customHeight="false" outlineLevel="0" collapsed="false">
      <c r="C582" s="76"/>
    </row>
    <row r="583" customFormat="false" ht="15" hidden="false" customHeight="false" outlineLevel="0" collapsed="false">
      <c r="C583" s="76"/>
    </row>
    <row r="584" customFormat="false" ht="15" hidden="false" customHeight="false" outlineLevel="0" collapsed="false">
      <c r="C584" s="76"/>
    </row>
    <row r="585" customFormat="false" ht="15" hidden="false" customHeight="false" outlineLevel="0" collapsed="false">
      <c r="C585" s="76"/>
    </row>
    <row r="586" customFormat="false" ht="15" hidden="false" customHeight="false" outlineLevel="0" collapsed="false">
      <c r="C586" s="76"/>
    </row>
    <row r="587" customFormat="false" ht="15" hidden="false" customHeight="false" outlineLevel="0" collapsed="false">
      <c r="C587" s="76"/>
    </row>
    <row r="588" customFormat="false" ht="15" hidden="false" customHeight="false" outlineLevel="0" collapsed="false">
      <c r="C588" s="76"/>
    </row>
    <row r="589" customFormat="false" ht="15" hidden="false" customHeight="false" outlineLevel="0" collapsed="false">
      <c r="C589" s="76"/>
    </row>
    <row r="590" customFormat="false" ht="15" hidden="false" customHeight="false" outlineLevel="0" collapsed="false">
      <c r="C590" s="76"/>
    </row>
    <row r="591" customFormat="false" ht="15" hidden="false" customHeight="false" outlineLevel="0" collapsed="false">
      <c r="C591" s="76"/>
    </row>
    <row r="592" customFormat="false" ht="15" hidden="false" customHeight="false" outlineLevel="0" collapsed="false">
      <c r="C592" s="76"/>
    </row>
    <row r="593" customFormat="false" ht="15" hidden="false" customHeight="false" outlineLevel="0" collapsed="false">
      <c r="C593" s="76"/>
    </row>
    <row r="594" customFormat="false" ht="15" hidden="false" customHeight="false" outlineLevel="0" collapsed="false">
      <c r="C594" s="76"/>
    </row>
    <row r="595" customFormat="false" ht="15" hidden="false" customHeight="false" outlineLevel="0" collapsed="false">
      <c r="C595" s="76"/>
    </row>
    <row r="596" customFormat="false" ht="15" hidden="false" customHeight="false" outlineLevel="0" collapsed="false">
      <c r="C596" s="76"/>
    </row>
    <row r="597" customFormat="false" ht="15" hidden="false" customHeight="false" outlineLevel="0" collapsed="false">
      <c r="C597" s="76"/>
    </row>
    <row r="598" customFormat="false" ht="15" hidden="false" customHeight="false" outlineLevel="0" collapsed="false">
      <c r="C598" s="76"/>
    </row>
    <row r="599" customFormat="false" ht="15" hidden="false" customHeight="false" outlineLevel="0" collapsed="false">
      <c r="C599" s="76"/>
    </row>
    <row r="600" customFormat="false" ht="15" hidden="false" customHeight="false" outlineLevel="0" collapsed="false">
      <c r="C600" s="76"/>
    </row>
    <row r="601" customFormat="false" ht="15" hidden="false" customHeight="false" outlineLevel="0" collapsed="false">
      <c r="C601" s="76"/>
    </row>
    <row r="602" customFormat="false" ht="15" hidden="false" customHeight="false" outlineLevel="0" collapsed="false">
      <c r="C602" s="76"/>
    </row>
    <row r="603" customFormat="false" ht="15" hidden="false" customHeight="false" outlineLevel="0" collapsed="false">
      <c r="C603" s="76"/>
    </row>
    <row r="604" customFormat="false" ht="15" hidden="false" customHeight="false" outlineLevel="0" collapsed="false">
      <c r="C604" s="76"/>
    </row>
    <row r="605" customFormat="false" ht="15" hidden="false" customHeight="false" outlineLevel="0" collapsed="false">
      <c r="C605" s="76"/>
    </row>
    <row r="606" customFormat="false" ht="15" hidden="false" customHeight="false" outlineLevel="0" collapsed="false">
      <c r="C606" s="76"/>
    </row>
    <row r="607" customFormat="false" ht="15" hidden="false" customHeight="false" outlineLevel="0" collapsed="false">
      <c r="C607" s="76"/>
    </row>
    <row r="608" customFormat="false" ht="15" hidden="false" customHeight="false" outlineLevel="0" collapsed="false">
      <c r="C608" s="76"/>
    </row>
    <row r="609" customFormat="false" ht="15" hidden="false" customHeight="false" outlineLevel="0" collapsed="false">
      <c r="C609" s="76"/>
    </row>
    <row r="610" customFormat="false" ht="15" hidden="false" customHeight="false" outlineLevel="0" collapsed="false">
      <c r="C610" s="76"/>
    </row>
    <row r="611" customFormat="false" ht="15" hidden="false" customHeight="false" outlineLevel="0" collapsed="false">
      <c r="C611" s="76"/>
    </row>
    <row r="612" customFormat="false" ht="15" hidden="false" customHeight="false" outlineLevel="0" collapsed="false">
      <c r="C612" s="76"/>
    </row>
    <row r="613" customFormat="false" ht="15" hidden="false" customHeight="false" outlineLevel="0" collapsed="false">
      <c r="C613" s="76"/>
    </row>
    <row r="614" customFormat="false" ht="15" hidden="false" customHeight="false" outlineLevel="0" collapsed="false">
      <c r="C614" s="76"/>
    </row>
    <row r="615" customFormat="false" ht="15" hidden="false" customHeight="false" outlineLevel="0" collapsed="false">
      <c r="C615" s="76"/>
    </row>
    <row r="616" customFormat="false" ht="15" hidden="false" customHeight="false" outlineLevel="0" collapsed="false">
      <c r="C616" s="76"/>
    </row>
    <row r="617" customFormat="false" ht="15" hidden="false" customHeight="false" outlineLevel="0" collapsed="false">
      <c r="C617" s="76"/>
    </row>
    <row r="618" customFormat="false" ht="15" hidden="false" customHeight="false" outlineLevel="0" collapsed="false">
      <c r="C618" s="76"/>
    </row>
    <row r="619" customFormat="false" ht="15" hidden="false" customHeight="false" outlineLevel="0" collapsed="false">
      <c r="C619" s="76"/>
    </row>
    <row r="620" customFormat="false" ht="15" hidden="false" customHeight="false" outlineLevel="0" collapsed="false">
      <c r="C620" s="76"/>
    </row>
    <row r="621" customFormat="false" ht="15" hidden="false" customHeight="false" outlineLevel="0" collapsed="false">
      <c r="C621" s="76"/>
    </row>
    <row r="622" customFormat="false" ht="15" hidden="false" customHeight="false" outlineLevel="0" collapsed="false">
      <c r="C622" s="76"/>
    </row>
    <row r="623" customFormat="false" ht="15" hidden="false" customHeight="false" outlineLevel="0" collapsed="false">
      <c r="C623" s="76"/>
    </row>
    <row r="624" customFormat="false" ht="15" hidden="false" customHeight="false" outlineLevel="0" collapsed="false">
      <c r="C624" s="76"/>
    </row>
    <row r="625" customFormat="false" ht="15" hidden="false" customHeight="false" outlineLevel="0" collapsed="false">
      <c r="C625" s="76"/>
    </row>
    <row r="626" customFormat="false" ht="15" hidden="false" customHeight="false" outlineLevel="0" collapsed="false">
      <c r="C626" s="76"/>
    </row>
    <row r="627" customFormat="false" ht="15" hidden="false" customHeight="false" outlineLevel="0" collapsed="false">
      <c r="C627" s="76"/>
    </row>
    <row r="628" customFormat="false" ht="15" hidden="false" customHeight="false" outlineLevel="0" collapsed="false">
      <c r="C628" s="76"/>
    </row>
    <row r="629" customFormat="false" ht="15" hidden="false" customHeight="false" outlineLevel="0" collapsed="false">
      <c r="C629" s="76"/>
    </row>
    <row r="630" customFormat="false" ht="15" hidden="false" customHeight="false" outlineLevel="0" collapsed="false">
      <c r="C630" s="76"/>
    </row>
    <row r="631" customFormat="false" ht="15" hidden="false" customHeight="false" outlineLevel="0" collapsed="false">
      <c r="C631" s="76"/>
    </row>
    <row r="632" customFormat="false" ht="15" hidden="false" customHeight="false" outlineLevel="0" collapsed="false">
      <c r="C632" s="76"/>
    </row>
    <row r="633" customFormat="false" ht="15" hidden="false" customHeight="false" outlineLevel="0" collapsed="false">
      <c r="C633" s="76"/>
    </row>
    <row r="634" customFormat="false" ht="15" hidden="false" customHeight="false" outlineLevel="0" collapsed="false">
      <c r="C634" s="76"/>
    </row>
    <row r="635" customFormat="false" ht="15" hidden="false" customHeight="false" outlineLevel="0" collapsed="false">
      <c r="C635" s="76"/>
    </row>
    <row r="636" customFormat="false" ht="15" hidden="false" customHeight="false" outlineLevel="0" collapsed="false">
      <c r="C636" s="76"/>
    </row>
    <row r="637" customFormat="false" ht="15" hidden="false" customHeight="false" outlineLevel="0" collapsed="false">
      <c r="C637" s="76"/>
    </row>
    <row r="638" customFormat="false" ht="15" hidden="false" customHeight="false" outlineLevel="0" collapsed="false">
      <c r="C638" s="76"/>
    </row>
    <row r="639" customFormat="false" ht="15" hidden="false" customHeight="false" outlineLevel="0" collapsed="false">
      <c r="C639" s="76"/>
    </row>
    <row r="640" customFormat="false" ht="15" hidden="false" customHeight="false" outlineLevel="0" collapsed="false">
      <c r="C640" s="76"/>
    </row>
    <row r="641" customFormat="false" ht="15" hidden="false" customHeight="false" outlineLevel="0" collapsed="false">
      <c r="C641" s="76"/>
    </row>
    <row r="642" customFormat="false" ht="15" hidden="false" customHeight="false" outlineLevel="0" collapsed="false">
      <c r="C642" s="76"/>
    </row>
    <row r="643" customFormat="false" ht="15" hidden="false" customHeight="false" outlineLevel="0" collapsed="false">
      <c r="C643" s="76"/>
    </row>
    <row r="644" customFormat="false" ht="15" hidden="false" customHeight="false" outlineLevel="0" collapsed="false">
      <c r="C644" s="76"/>
    </row>
    <row r="645" customFormat="false" ht="15" hidden="false" customHeight="false" outlineLevel="0" collapsed="false">
      <c r="C645" s="76"/>
    </row>
    <row r="646" customFormat="false" ht="15" hidden="false" customHeight="false" outlineLevel="0" collapsed="false">
      <c r="C646" s="76"/>
    </row>
    <row r="647" customFormat="false" ht="15" hidden="false" customHeight="false" outlineLevel="0" collapsed="false">
      <c r="C647" s="76"/>
    </row>
    <row r="648" customFormat="false" ht="15" hidden="false" customHeight="false" outlineLevel="0" collapsed="false">
      <c r="C648" s="76"/>
    </row>
    <row r="649" customFormat="false" ht="15" hidden="false" customHeight="false" outlineLevel="0" collapsed="false">
      <c r="C649" s="76"/>
    </row>
    <row r="650" customFormat="false" ht="15" hidden="false" customHeight="false" outlineLevel="0" collapsed="false">
      <c r="C650" s="76"/>
    </row>
    <row r="651" customFormat="false" ht="15" hidden="false" customHeight="false" outlineLevel="0" collapsed="false">
      <c r="C651" s="76"/>
    </row>
    <row r="652" customFormat="false" ht="15" hidden="false" customHeight="false" outlineLevel="0" collapsed="false">
      <c r="C652" s="76"/>
    </row>
    <row r="653" customFormat="false" ht="15" hidden="false" customHeight="false" outlineLevel="0" collapsed="false">
      <c r="C653" s="76"/>
    </row>
    <row r="654" customFormat="false" ht="15" hidden="false" customHeight="false" outlineLevel="0" collapsed="false">
      <c r="C654" s="76"/>
    </row>
    <row r="655" customFormat="false" ht="15" hidden="false" customHeight="false" outlineLevel="0" collapsed="false">
      <c r="C655" s="76"/>
    </row>
    <row r="656" customFormat="false" ht="15" hidden="false" customHeight="false" outlineLevel="0" collapsed="false">
      <c r="C656" s="76"/>
    </row>
    <row r="657" customFormat="false" ht="15" hidden="false" customHeight="false" outlineLevel="0" collapsed="false">
      <c r="C657" s="76"/>
    </row>
    <row r="658" customFormat="false" ht="15" hidden="false" customHeight="false" outlineLevel="0" collapsed="false">
      <c r="C658" s="76"/>
    </row>
    <row r="659" customFormat="false" ht="15" hidden="false" customHeight="false" outlineLevel="0" collapsed="false">
      <c r="C659" s="76"/>
    </row>
    <row r="660" customFormat="false" ht="15" hidden="false" customHeight="false" outlineLevel="0" collapsed="false">
      <c r="C660" s="76"/>
    </row>
    <row r="661" customFormat="false" ht="15" hidden="false" customHeight="false" outlineLevel="0" collapsed="false">
      <c r="C661" s="76"/>
    </row>
    <row r="662" customFormat="false" ht="15" hidden="false" customHeight="false" outlineLevel="0" collapsed="false">
      <c r="C662" s="76"/>
    </row>
    <row r="663" customFormat="false" ht="15" hidden="false" customHeight="false" outlineLevel="0" collapsed="false">
      <c r="C663" s="76"/>
    </row>
    <row r="664" customFormat="false" ht="15" hidden="false" customHeight="false" outlineLevel="0" collapsed="false">
      <c r="C664" s="76"/>
    </row>
    <row r="665" customFormat="false" ht="15" hidden="false" customHeight="false" outlineLevel="0" collapsed="false">
      <c r="C665" s="76"/>
    </row>
    <row r="666" customFormat="false" ht="15" hidden="false" customHeight="false" outlineLevel="0" collapsed="false">
      <c r="C666" s="76"/>
    </row>
    <row r="667" customFormat="false" ht="15" hidden="false" customHeight="false" outlineLevel="0" collapsed="false">
      <c r="C667" s="76"/>
    </row>
    <row r="668" customFormat="false" ht="15" hidden="false" customHeight="false" outlineLevel="0" collapsed="false">
      <c r="C668" s="76"/>
    </row>
    <row r="669" customFormat="false" ht="15" hidden="false" customHeight="false" outlineLevel="0" collapsed="false">
      <c r="C669" s="76"/>
    </row>
    <row r="670" customFormat="false" ht="15" hidden="false" customHeight="false" outlineLevel="0" collapsed="false">
      <c r="C670" s="76"/>
    </row>
    <row r="671" customFormat="false" ht="15" hidden="false" customHeight="false" outlineLevel="0" collapsed="false">
      <c r="C671" s="76"/>
    </row>
    <row r="672" customFormat="false" ht="15" hidden="false" customHeight="false" outlineLevel="0" collapsed="false">
      <c r="C672" s="76"/>
    </row>
    <row r="673" customFormat="false" ht="15" hidden="false" customHeight="false" outlineLevel="0" collapsed="false">
      <c r="C673" s="76"/>
    </row>
    <row r="674" customFormat="false" ht="15" hidden="false" customHeight="false" outlineLevel="0" collapsed="false">
      <c r="C674" s="76"/>
    </row>
    <row r="675" customFormat="false" ht="15" hidden="false" customHeight="false" outlineLevel="0" collapsed="false">
      <c r="C675" s="76"/>
    </row>
    <row r="676" customFormat="false" ht="15" hidden="false" customHeight="false" outlineLevel="0" collapsed="false">
      <c r="C676" s="76"/>
    </row>
    <row r="677" customFormat="false" ht="15" hidden="false" customHeight="false" outlineLevel="0" collapsed="false">
      <c r="C677" s="76"/>
    </row>
    <row r="678" customFormat="false" ht="15" hidden="false" customHeight="false" outlineLevel="0" collapsed="false">
      <c r="C678" s="76"/>
    </row>
    <row r="679" customFormat="false" ht="15" hidden="false" customHeight="false" outlineLevel="0" collapsed="false">
      <c r="C679" s="76"/>
    </row>
    <row r="680" customFormat="false" ht="15" hidden="false" customHeight="false" outlineLevel="0" collapsed="false">
      <c r="C680" s="76"/>
    </row>
    <row r="681" customFormat="false" ht="15" hidden="false" customHeight="false" outlineLevel="0" collapsed="false">
      <c r="C681" s="76"/>
    </row>
    <row r="682" customFormat="false" ht="15" hidden="false" customHeight="false" outlineLevel="0" collapsed="false">
      <c r="C682" s="76"/>
    </row>
    <row r="683" customFormat="false" ht="15" hidden="false" customHeight="false" outlineLevel="0" collapsed="false">
      <c r="C683" s="76"/>
    </row>
    <row r="684" customFormat="false" ht="15" hidden="false" customHeight="false" outlineLevel="0" collapsed="false">
      <c r="C684" s="76"/>
    </row>
    <row r="685" customFormat="false" ht="15" hidden="false" customHeight="false" outlineLevel="0" collapsed="false">
      <c r="C685" s="76"/>
    </row>
    <row r="686" customFormat="false" ht="15" hidden="false" customHeight="false" outlineLevel="0" collapsed="false">
      <c r="C686" s="76"/>
    </row>
    <row r="687" customFormat="false" ht="15" hidden="false" customHeight="false" outlineLevel="0" collapsed="false">
      <c r="C687" s="76"/>
    </row>
    <row r="688" customFormat="false" ht="15" hidden="false" customHeight="false" outlineLevel="0" collapsed="false">
      <c r="C688" s="76"/>
    </row>
    <row r="689" customFormat="false" ht="15" hidden="false" customHeight="false" outlineLevel="0" collapsed="false">
      <c r="C689" s="76"/>
    </row>
    <row r="690" customFormat="false" ht="15" hidden="false" customHeight="false" outlineLevel="0" collapsed="false">
      <c r="C690" s="76"/>
    </row>
    <row r="691" customFormat="false" ht="15" hidden="false" customHeight="false" outlineLevel="0" collapsed="false">
      <c r="C691" s="76"/>
    </row>
    <row r="692" customFormat="false" ht="15" hidden="false" customHeight="false" outlineLevel="0" collapsed="false">
      <c r="C692" s="76"/>
    </row>
    <row r="693" customFormat="false" ht="15" hidden="false" customHeight="false" outlineLevel="0" collapsed="false">
      <c r="C693" s="76"/>
    </row>
    <row r="694" customFormat="false" ht="15" hidden="false" customHeight="false" outlineLevel="0" collapsed="false">
      <c r="C694" s="76"/>
    </row>
    <row r="695" customFormat="false" ht="15" hidden="false" customHeight="false" outlineLevel="0" collapsed="false">
      <c r="C695" s="76"/>
    </row>
    <row r="696" customFormat="false" ht="15" hidden="false" customHeight="false" outlineLevel="0" collapsed="false">
      <c r="C696" s="76"/>
    </row>
    <row r="697" customFormat="false" ht="15" hidden="false" customHeight="false" outlineLevel="0" collapsed="false">
      <c r="C697" s="76"/>
    </row>
    <row r="698" customFormat="false" ht="15" hidden="false" customHeight="false" outlineLevel="0" collapsed="false">
      <c r="C698" s="76"/>
    </row>
    <row r="699" customFormat="false" ht="15" hidden="false" customHeight="false" outlineLevel="0" collapsed="false">
      <c r="C699" s="76"/>
    </row>
    <row r="700" customFormat="false" ht="15" hidden="false" customHeight="false" outlineLevel="0" collapsed="false">
      <c r="C700" s="76"/>
    </row>
    <row r="701" customFormat="false" ht="15" hidden="false" customHeight="false" outlineLevel="0" collapsed="false">
      <c r="C701" s="76"/>
    </row>
    <row r="702" customFormat="false" ht="15" hidden="false" customHeight="false" outlineLevel="0" collapsed="false">
      <c r="C702" s="76"/>
    </row>
    <row r="703" customFormat="false" ht="15" hidden="false" customHeight="false" outlineLevel="0" collapsed="false">
      <c r="C703" s="76"/>
    </row>
    <row r="704" customFormat="false" ht="15" hidden="false" customHeight="false" outlineLevel="0" collapsed="false">
      <c r="C704" s="76"/>
    </row>
    <row r="705" customFormat="false" ht="15" hidden="false" customHeight="false" outlineLevel="0" collapsed="false">
      <c r="C705" s="76"/>
    </row>
    <row r="706" customFormat="false" ht="15" hidden="false" customHeight="false" outlineLevel="0" collapsed="false">
      <c r="C706" s="76"/>
    </row>
    <row r="707" customFormat="false" ht="15" hidden="false" customHeight="false" outlineLevel="0" collapsed="false">
      <c r="C707" s="76"/>
    </row>
    <row r="708" customFormat="false" ht="15" hidden="false" customHeight="false" outlineLevel="0" collapsed="false">
      <c r="C708" s="76"/>
    </row>
    <row r="709" customFormat="false" ht="15" hidden="false" customHeight="false" outlineLevel="0" collapsed="false">
      <c r="C709" s="76"/>
    </row>
    <row r="710" customFormat="false" ht="15" hidden="false" customHeight="false" outlineLevel="0" collapsed="false">
      <c r="C710" s="76"/>
    </row>
    <row r="711" customFormat="false" ht="15" hidden="false" customHeight="false" outlineLevel="0" collapsed="false">
      <c r="C711" s="76"/>
    </row>
    <row r="712" customFormat="false" ht="15" hidden="false" customHeight="false" outlineLevel="0" collapsed="false">
      <c r="C712" s="76"/>
    </row>
    <row r="713" customFormat="false" ht="15" hidden="false" customHeight="false" outlineLevel="0" collapsed="false">
      <c r="C713" s="76"/>
    </row>
    <row r="714" customFormat="false" ht="15" hidden="false" customHeight="false" outlineLevel="0" collapsed="false">
      <c r="C714" s="76"/>
    </row>
    <row r="715" customFormat="false" ht="15" hidden="false" customHeight="false" outlineLevel="0" collapsed="false">
      <c r="C715" s="76"/>
    </row>
    <row r="716" customFormat="false" ht="15" hidden="false" customHeight="false" outlineLevel="0" collapsed="false">
      <c r="C716" s="76"/>
    </row>
    <row r="717" customFormat="false" ht="15" hidden="false" customHeight="false" outlineLevel="0" collapsed="false">
      <c r="C717" s="76"/>
    </row>
    <row r="718" customFormat="false" ht="15" hidden="false" customHeight="false" outlineLevel="0" collapsed="false">
      <c r="C718" s="76"/>
    </row>
    <row r="719" customFormat="false" ht="15" hidden="false" customHeight="false" outlineLevel="0" collapsed="false">
      <c r="C719" s="76"/>
    </row>
    <row r="720" customFormat="false" ht="15" hidden="false" customHeight="false" outlineLevel="0" collapsed="false">
      <c r="C720" s="76"/>
    </row>
    <row r="721" customFormat="false" ht="15" hidden="false" customHeight="false" outlineLevel="0" collapsed="false">
      <c r="C721" s="76"/>
    </row>
    <row r="722" customFormat="false" ht="15" hidden="false" customHeight="false" outlineLevel="0" collapsed="false">
      <c r="C722" s="76"/>
    </row>
    <row r="723" customFormat="false" ht="15" hidden="false" customHeight="false" outlineLevel="0" collapsed="false">
      <c r="C723" s="76"/>
    </row>
    <row r="724" customFormat="false" ht="15" hidden="false" customHeight="false" outlineLevel="0" collapsed="false">
      <c r="C724" s="76"/>
    </row>
    <row r="725" customFormat="false" ht="15" hidden="false" customHeight="false" outlineLevel="0" collapsed="false">
      <c r="C725" s="76"/>
    </row>
    <row r="726" customFormat="false" ht="15" hidden="false" customHeight="false" outlineLevel="0" collapsed="false">
      <c r="C726" s="76"/>
    </row>
    <row r="727" customFormat="false" ht="15" hidden="false" customHeight="false" outlineLevel="0" collapsed="false">
      <c r="C727" s="76"/>
    </row>
    <row r="728" customFormat="false" ht="15" hidden="false" customHeight="false" outlineLevel="0" collapsed="false">
      <c r="C728" s="76"/>
    </row>
    <row r="729" customFormat="false" ht="15" hidden="false" customHeight="false" outlineLevel="0" collapsed="false">
      <c r="C729" s="76"/>
    </row>
    <row r="730" customFormat="false" ht="15" hidden="false" customHeight="false" outlineLevel="0" collapsed="false">
      <c r="C730" s="76"/>
    </row>
    <row r="731" customFormat="false" ht="15" hidden="false" customHeight="false" outlineLevel="0" collapsed="false">
      <c r="C731" s="76"/>
    </row>
    <row r="732" customFormat="false" ht="15" hidden="false" customHeight="false" outlineLevel="0" collapsed="false">
      <c r="C732" s="76"/>
    </row>
    <row r="733" customFormat="false" ht="15" hidden="false" customHeight="false" outlineLevel="0" collapsed="false">
      <c r="C733" s="76"/>
    </row>
    <row r="734" customFormat="false" ht="15" hidden="false" customHeight="false" outlineLevel="0" collapsed="false">
      <c r="C734" s="76"/>
    </row>
    <row r="735" customFormat="false" ht="15" hidden="false" customHeight="false" outlineLevel="0" collapsed="false">
      <c r="C735" s="76"/>
    </row>
    <row r="736" customFormat="false" ht="15" hidden="false" customHeight="false" outlineLevel="0" collapsed="false">
      <c r="C736" s="76"/>
    </row>
    <row r="737" customFormat="false" ht="15" hidden="false" customHeight="false" outlineLevel="0" collapsed="false">
      <c r="C737" s="76"/>
    </row>
    <row r="738" customFormat="false" ht="15" hidden="false" customHeight="false" outlineLevel="0" collapsed="false">
      <c r="C738" s="76"/>
    </row>
    <row r="739" customFormat="false" ht="15" hidden="false" customHeight="false" outlineLevel="0" collapsed="false">
      <c r="C739" s="76"/>
    </row>
    <row r="740" customFormat="false" ht="15" hidden="false" customHeight="false" outlineLevel="0" collapsed="false">
      <c r="C740" s="76"/>
    </row>
    <row r="741" customFormat="false" ht="15" hidden="false" customHeight="false" outlineLevel="0" collapsed="false">
      <c r="C741" s="76"/>
    </row>
    <row r="742" customFormat="false" ht="15" hidden="false" customHeight="false" outlineLevel="0" collapsed="false">
      <c r="C742" s="76"/>
    </row>
    <row r="743" customFormat="false" ht="15" hidden="false" customHeight="false" outlineLevel="0" collapsed="false">
      <c r="C743" s="76"/>
    </row>
    <row r="744" customFormat="false" ht="15" hidden="false" customHeight="false" outlineLevel="0" collapsed="false">
      <c r="C744" s="76"/>
    </row>
    <row r="745" customFormat="false" ht="15" hidden="false" customHeight="false" outlineLevel="0" collapsed="false">
      <c r="C745" s="76"/>
    </row>
    <row r="746" customFormat="false" ht="15" hidden="false" customHeight="false" outlineLevel="0" collapsed="false">
      <c r="C746" s="76"/>
    </row>
    <row r="747" customFormat="false" ht="15" hidden="false" customHeight="false" outlineLevel="0" collapsed="false">
      <c r="C747" s="76"/>
    </row>
    <row r="748" customFormat="false" ht="15" hidden="false" customHeight="false" outlineLevel="0" collapsed="false">
      <c r="C748" s="76"/>
    </row>
    <row r="749" customFormat="false" ht="15" hidden="false" customHeight="false" outlineLevel="0" collapsed="false">
      <c r="C749" s="76"/>
    </row>
    <row r="750" customFormat="false" ht="15" hidden="false" customHeight="false" outlineLevel="0" collapsed="false">
      <c r="C750" s="76"/>
    </row>
    <row r="751" customFormat="false" ht="15" hidden="false" customHeight="false" outlineLevel="0" collapsed="false">
      <c r="C751" s="76"/>
    </row>
    <row r="752" customFormat="false" ht="15" hidden="false" customHeight="false" outlineLevel="0" collapsed="false">
      <c r="C752" s="76"/>
    </row>
    <row r="753" customFormat="false" ht="15" hidden="false" customHeight="false" outlineLevel="0" collapsed="false">
      <c r="C753" s="76"/>
    </row>
    <row r="754" customFormat="false" ht="15" hidden="false" customHeight="false" outlineLevel="0" collapsed="false">
      <c r="C754" s="76"/>
    </row>
    <row r="755" customFormat="false" ht="15" hidden="false" customHeight="false" outlineLevel="0" collapsed="false">
      <c r="C755" s="76"/>
    </row>
    <row r="756" customFormat="false" ht="15" hidden="false" customHeight="false" outlineLevel="0" collapsed="false">
      <c r="C756" s="76"/>
    </row>
    <row r="757" customFormat="false" ht="15" hidden="false" customHeight="false" outlineLevel="0" collapsed="false">
      <c r="C757" s="76"/>
    </row>
    <row r="758" customFormat="false" ht="15" hidden="false" customHeight="false" outlineLevel="0" collapsed="false">
      <c r="C758" s="76"/>
    </row>
    <row r="759" customFormat="false" ht="15" hidden="false" customHeight="false" outlineLevel="0" collapsed="false">
      <c r="C759" s="76"/>
    </row>
    <row r="760" customFormat="false" ht="15" hidden="false" customHeight="false" outlineLevel="0" collapsed="false">
      <c r="C760" s="76"/>
    </row>
    <row r="761" customFormat="false" ht="15" hidden="false" customHeight="false" outlineLevel="0" collapsed="false">
      <c r="C761" s="76"/>
    </row>
    <row r="762" customFormat="false" ht="15" hidden="false" customHeight="false" outlineLevel="0" collapsed="false">
      <c r="C762" s="76"/>
    </row>
    <row r="763" customFormat="false" ht="15" hidden="false" customHeight="false" outlineLevel="0" collapsed="false">
      <c r="C763" s="76"/>
    </row>
    <row r="764" customFormat="false" ht="15" hidden="false" customHeight="false" outlineLevel="0" collapsed="false">
      <c r="C764" s="76"/>
    </row>
    <row r="765" customFormat="false" ht="15" hidden="false" customHeight="false" outlineLevel="0" collapsed="false">
      <c r="C765" s="76"/>
    </row>
    <row r="766" customFormat="false" ht="15" hidden="false" customHeight="false" outlineLevel="0" collapsed="false">
      <c r="C766" s="76"/>
    </row>
    <row r="767" customFormat="false" ht="15" hidden="false" customHeight="false" outlineLevel="0" collapsed="false">
      <c r="C767" s="76"/>
    </row>
    <row r="768" customFormat="false" ht="15" hidden="false" customHeight="false" outlineLevel="0" collapsed="false">
      <c r="C768" s="76"/>
    </row>
    <row r="769" customFormat="false" ht="15" hidden="false" customHeight="false" outlineLevel="0" collapsed="false">
      <c r="C769" s="76"/>
    </row>
    <row r="770" customFormat="false" ht="15" hidden="false" customHeight="false" outlineLevel="0" collapsed="false">
      <c r="C770" s="76"/>
    </row>
    <row r="771" customFormat="false" ht="15" hidden="false" customHeight="false" outlineLevel="0" collapsed="false">
      <c r="C771" s="76"/>
    </row>
    <row r="772" customFormat="false" ht="15" hidden="false" customHeight="false" outlineLevel="0" collapsed="false">
      <c r="C772" s="76"/>
    </row>
    <row r="773" customFormat="false" ht="15" hidden="false" customHeight="false" outlineLevel="0" collapsed="false">
      <c r="C773" s="76"/>
    </row>
    <row r="774" customFormat="false" ht="15" hidden="false" customHeight="false" outlineLevel="0" collapsed="false">
      <c r="C774" s="76"/>
    </row>
    <row r="775" customFormat="false" ht="15" hidden="false" customHeight="false" outlineLevel="0" collapsed="false">
      <c r="C775" s="76"/>
    </row>
    <row r="776" customFormat="false" ht="15" hidden="false" customHeight="false" outlineLevel="0" collapsed="false">
      <c r="C776" s="76"/>
    </row>
    <row r="777" customFormat="false" ht="15" hidden="false" customHeight="false" outlineLevel="0" collapsed="false">
      <c r="C777" s="76"/>
    </row>
    <row r="778" customFormat="false" ht="15" hidden="false" customHeight="false" outlineLevel="0" collapsed="false">
      <c r="C778" s="76"/>
    </row>
    <row r="779" customFormat="false" ht="15" hidden="false" customHeight="false" outlineLevel="0" collapsed="false">
      <c r="C779" s="76"/>
    </row>
    <row r="780" customFormat="false" ht="15" hidden="false" customHeight="false" outlineLevel="0" collapsed="false">
      <c r="C780" s="76"/>
    </row>
    <row r="781" customFormat="false" ht="15" hidden="false" customHeight="false" outlineLevel="0" collapsed="false">
      <c r="C781" s="76"/>
    </row>
    <row r="782" customFormat="false" ht="15" hidden="false" customHeight="false" outlineLevel="0" collapsed="false">
      <c r="C782" s="76"/>
    </row>
    <row r="783" customFormat="false" ht="15" hidden="false" customHeight="false" outlineLevel="0" collapsed="false">
      <c r="C783" s="76"/>
    </row>
    <row r="784" customFormat="false" ht="15" hidden="false" customHeight="false" outlineLevel="0" collapsed="false">
      <c r="C784" s="76"/>
    </row>
    <row r="785" customFormat="false" ht="15" hidden="false" customHeight="false" outlineLevel="0" collapsed="false">
      <c r="C785" s="76"/>
    </row>
    <row r="786" customFormat="false" ht="15" hidden="false" customHeight="false" outlineLevel="0" collapsed="false">
      <c r="C786" s="76"/>
    </row>
    <row r="787" customFormat="false" ht="15" hidden="false" customHeight="false" outlineLevel="0" collapsed="false">
      <c r="C787" s="76"/>
    </row>
    <row r="788" customFormat="false" ht="15" hidden="false" customHeight="false" outlineLevel="0" collapsed="false">
      <c r="C788" s="76"/>
    </row>
    <row r="789" customFormat="false" ht="15" hidden="false" customHeight="false" outlineLevel="0" collapsed="false">
      <c r="C789" s="76"/>
    </row>
    <row r="790" customFormat="false" ht="15" hidden="false" customHeight="false" outlineLevel="0" collapsed="false">
      <c r="C790" s="76"/>
    </row>
    <row r="791" customFormat="false" ht="15" hidden="false" customHeight="false" outlineLevel="0" collapsed="false">
      <c r="C791" s="76"/>
    </row>
    <row r="792" customFormat="false" ht="15" hidden="false" customHeight="false" outlineLevel="0" collapsed="false">
      <c r="C792" s="76"/>
    </row>
    <row r="793" customFormat="false" ht="15" hidden="false" customHeight="false" outlineLevel="0" collapsed="false">
      <c r="C793" s="76"/>
    </row>
    <row r="794" customFormat="false" ht="15" hidden="false" customHeight="false" outlineLevel="0" collapsed="false">
      <c r="C794" s="76"/>
    </row>
    <row r="795" customFormat="false" ht="15" hidden="false" customHeight="false" outlineLevel="0" collapsed="false">
      <c r="C795" s="76"/>
    </row>
    <row r="796" customFormat="false" ht="15" hidden="false" customHeight="false" outlineLevel="0" collapsed="false">
      <c r="C796" s="76"/>
    </row>
    <row r="797" customFormat="false" ht="15" hidden="false" customHeight="false" outlineLevel="0" collapsed="false">
      <c r="C797" s="76"/>
    </row>
    <row r="798" customFormat="false" ht="15" hidden="false" customHeight="false" outlineLevel="0" collapsed="false">
      <c r="C798" s="76"/>
    </row>
    <row r="799" customFormat="false" ht="15" hidden="false" customHeight="false" outlineLevel="0" collapsed="false">
      <c r="C799" s="76"/>
    </row>
    <row r="800" customFormat="false" ht="15" hidden="false" customHeight="false" outlineLevel="0" collapsed="false">
      <c r="C800" s="76"/>
    </row>
    <row r="801" customFormat="false" ht="15" hidden="false" customHeight="false" outlineLevel="0" collapsed="false">
      <c r="C801" s="76"/>
    </row>
    <row r="802" customFormat="false" ht="15" hidden="false" customHeight="false" outlineLevel="0" collapsed="false">
      <c r="C802" s="76"/>
    </row>
    <row r="803" customFormat="false" ht="15" hidden="false" customHeight="false" outlineLevel="0" collapsed="false">
      <c r="C803" s="76"/>
    </row>
    <row r="804" customFormat="false" ht="15" hidden="false" customHeight="false" outlineLevel="0" collapsed="false">
      <c r="C804" s="76"/>
    </row>
    <row r="805" customFormat="false" ht="15" hidden="false" customHeight="false" outlineLevel="0" collapsed="false">
      <c r="C805" s="76"/>
    </row>
    <row r="806" customFormat="false" ht="15" hidden="false" customHeight="false" outlineLevel="0" collapsed="false">
      <c r="C806" s="76"/>
    </row>
    <row r="807" customFormat="false" ht="15" hidden="false" customHeight="false" outlineLevel="0" collapsed="false">
      <c r="C807" s="76"/>
    </row>
    <row r="808" customFormat="false" ht="15" hidden="false" customHeight="false" outlineLevel="0" collapsed="false">
      <c r="C808" s="76"/>
    </row>
    <row r="809" customFormat="false" ht="15" hidden="false" customHeight="false" outlineLevel="0" collapsed="false">
      <c r="C809" s="76"/>
    </row>
    <row r="810" customFormat="false" ht="15" hidden="false" customHeight="false" outlineLevel="0" collapsed="false">
      <c r="C810" s="76"/>
    </row>
    <row r="811" customFormat="false" ht="15" hidden="false" customHeight="false" outlineLevel="0" collapsed="false">
      <c r="C811" s="76"/>
    </row>
    <row r="812" customFormat="false" ht="15" hidden="false" customHeight="false" outlineLevel="0" collapsed="false">
      <c r="C812" s="76"/>
    </row>
    <row r="813" customFormat="false" ht="15" hidden="false" customHeight="false" outlineLevel="0" collapsed="false">
      <c r="C813" s="76"/>
    </row>
    <row r="814" customFormat="false" ht="15" hidden="false" customHeight="false" outlineLevel="0" collapsed="false">
      <c r="C814" s="76"/>
    </row>
    <row r="815" customFormat="false" ht="15" hidden="false" customHeight="false" outlineLevel="0" collapsed="false">
      <c r="C815" s="76"/>
    </row>
    <row r="816" customFormat="false" ht="15" hidden="false" customHeight="false" outlineLevel="0" collapsed="false">
      <c r="C816" s="76"/>
    </row>
    <row r="817" customFormat="false" ht="15" hidden="false" customHeight="false" outlineLevel="0" collapsed="false">
      <c r="C817" s="76"/>
    </row>
    <row r="818" customFormat="false" ht="15" hidden="false" customHeight="false" outlineLevel="0" collapsed="false">
      <c r="C818" s="76"/>
    </row>
    <row r="819" customFormat="false" ht="15" hidden="false" customHeight="false" outlineLevel="0" collapsed="false">
      <c r="C819" s="76"/>
    </row>
    <row r="820" customFormat="false" ht="15" hidden="false" customHeight="false" outlineLevel="0" collapsed="false">
      <c r="C820" s="76"/>
    </row>
    <row r="821" customFormat="false" ht="15" hidden="false" customHeight="false" outlineLevel="0" collapsed="false">
      <c r="C821" s="76"/>
    </row>
    <row r="822" customFormat="false" ht="15" hidden="false" customHeight="false" outlineLevel="0" collapsed="false">
      <c r="C822" s="76"/>
    </row>
    <row r="823" customFormat="false" ht="15" hidden="false" customHeight="false" outlineLevel="0" collapsed="false">
      <c r="C823" s="76"/>
    </row>
    <row r="824" customFormat="false" ht="15" hidden="false" customHeight="false" outlineLevel="0" collapsed="false">
      <c r="C824" s="76"/>
    </row>
    <row r="825" customFormat="false" ht="15" hidden="false" customHeight="false" outlineLevel="0" collapsed="false">
      <c r="C825" s="76"/>
    </row>
    <row r="826" customFormat="false" ht="15" hidden="false" customHeight="false" outlineLevel="0" collapsed="false">
      <c r="C826" s="76"/>
    </row>
    <row r="827" customFormat="false" ht="15" hidden="false" customHeight="false" outlineLevel="0" collapsed="false">
      <c r="C827" s="76"/>
    </row>
    <row r="828" customFormat="false" ht="15" hidden="false" customHeight="false" outlineLevel="0" collapsed="false">
      <c r="C828" s="76"/>
    </row>
    <row r="829" customFormat="false" ht="15" hidden="false" customHeight="false" outlineLevel="0" collapsed="false">
      <c r="C829" s="76"/>
    </row>
    <row r="830" customFormat="false" ht="15" hidden="false" customHeight="false" outlineLevel="0" collapsed="false">
      <c r="C830" s="76"/>
    </row>
    <row r="831" customFormat="false" ht="15" hidden="false" customHeight="false" outlineLevel="0" collapsed="false">
      <c r="C831" s="76"/>
    </row>
    <row r="832" customFormat="false" ht="15" hidden="false" customHeight="false" outlineLevel="0" collapsed="false">
      <c r="C832" s="76"/>
    </row>
    <row r="833" customFormat="false" ht="15" hidden="false" customHeight="false" outlineLevel="0" collapsed="false">
      <c r="C833" s="76"/>
    </row>
    <row r="834" customFormat="false" ht="15" hidden="false" customHeight="false" outlineLevel="0" collapsed="false">
      <c r="C834" s="76"/>
    </row>
    <row r="835" customFormat="false" ht="15" hidden="false" customHeight="false" outlineLevel="0" collapsed="false">
      <c r="C835" s="76"/>
    </row>
    <row r="836" customFormat="false" ht="15" hidden="false" customHeight="false" outlineLevel="0" collapsed="false">
      <c r="C836" s="76"/>
    </row>
    <row r="837" customFormat="false" ht="15" hidden="false" customHeight="false" outlineLevel="0" collapsed="false">
      <c r="C837" s="76"/>
    </row>
    <row r="838" customFormat="false" ht="15" hidden="false" customHeight="false" outlineLevel="0" collapsed="false">
      <c r="C838" s="76"/>
    </row>
    <row r="839" customFormat="false" ht="15" hidden="false" customHeight="false" outlineLevel="0" collapsed="false">
      <c r="C839" s="76"/>
    </row>
    <row r="840" customFormat="false" ht="15" hidden="false" customHeight="false" outlineLevel="0" collapsed="false">
      <c r="C840" s="76"/>
    </row>
    <row r="841" customFormat="false" ht="15" hidden="false" customHeight="false" outlineLevel="0" collapsed="false">
      <c r="C841" s="76"/>
    </row>
    <row r="842" customFormat="false" ht="15" hidden="false" customHeight="false" outlineLevel="0" collapsed="false">
      <c r="C842" s="76"/>
    </row>
    <row r="843" customFormat="false" ht="15" hidden="false" customHeight="false" outlineLevel="0" collapsed="false">
      <c r="C843" s="76"/>
    </row>
    <row r="844" customFormat="false" ht="15" hidden="false" customHeight="false" outlineLevel="0" collapsed="false">
      <c r="C844" s="76"/>
    </row>
    <row r="845" customFormat="false" ht="15" hidden="false" customHeight="false" outlineLevel="0" collapsed="false">
      <c r="C845" s="76"/>
    </row>
    <row r="846" customFormat="false" ht="15" hidden="false" customHeight="false" outlineLevel="0" collapsed="false">
      <c r="C846" s="76"/>
    </row>
    <row r="847" customFormat="false" ht="15" hidden="false" customHeight="false" outlineLevel="0" collapsed="false">
      <c r="C847" s="76"/>
    </row>
    <row r="848" customFormat="false" ht="15" hidden="false" customHeight="false" outlineLevel="0" collapsed="false">
      <c r="C848" s="76"/>
    </row>
    <row r="849" customFormat="false" ht="15" hidden="false" customHeight="false" outlineLevel="0" collapsed="false">
      <c r="C849" s="76"/>
    </row>
    <row r="850" customFormat="false" ht="15" hidden="false" customHeight="false" outlineLevel="0" collapsed="false">
      <c r="C850" s="76"/>
    </row>
    <row r="851" customFormat="false" ht="15" hidden="false" customHeight="false" outlineLevel="0" collapsed="false">
      <c r="C851" s="76"/>
    </row>
    <row r="852" customFormat="false" ht="15" hidden="false" customHeight="false" outlineLevel="0" collapsed="false">
      <c r="C852" s="76"/>
    </row>
    <row r="853" customFormat="false" ht="15" hidden="false" customHeight="false" outlineLevel="0" collapsed="false">
      <c r="C853" s="76"/>
    </row>
    <row r="854" customFormat="false" ht="15" hidden="false" customHeight="false" outlineLevel="0" collapsed="false">
      <c r="C854" s="76"/>
    </row>
    <row r="855" customFormat="false" ht="15" hidden="false" customHeight="false" outlineLevel="0" collapsed="false">
      <c r="C855" s="76"/>
    </row>
    <row r="856" customFormat="false" ht="15" hidden="false" customHeight="false" outlineLevel="0" collapsed="false">
      <c r="C856" s="76"/>
    </row>
    <row r="857" customFormat="false" ht="15" hidden="false" customHeight="false" outlineLevel="0" collapsed="false">
      <c r="C857" s="76"/>
    </row>
    <row r="858" customFormat="false" ht="15" hidden="false" customHeight="false" outlineLevel="0" collapsed="false">
      <c r="C858" s="76"/>
    </row>
    <row r="859" customFormat="false" ht="15" hidden="false" customHeight="false" outlineLevel="0" collapsed="false">
      <c r="C859" s="76"/>
    </row>
    <row r="860" customFormat="false" ht="15" hidden="false" customHeight="false" outlineLevel="0" collapsed="false">
      <c r="C860" s="76"/>
    </row>
    <row r="861" customFormat="false" ht="15" hidden="false" customHeight="false" outlineLevel="0" collapsed="false">
      <c r="C861" s="76"/>
    </row>
    <row r="862" customFormat="false" ht="15" hidden="false" customHeight="false" outlineLevel="0" collapsed="false">
      <c r="C862" s="76"/>
    </row>
    <row r="863" customFormat="false" ht="15" hidden="false" customHeight="false" outlineLevel="0" collapsed="false">
      <c r="C863" s="76"/>
    </row>
    <row r="864" customFormat="false" ht="15" hidden="false" customHeight="false" outlineLevel="0" collapsed="false">
      <c r="C864" s="76"/>
    </row>
    <row r="865" customFormat="false" ht="15" hidden="false" customHeight="false" outlineLevel="0" collapsed="false">
      <c r="C865" s="76"/>
    </row>
    <row r="866" customFormat="false" ht="15" hidden="false" customHeight="false" outlineLevel="0" collapsed="false">
      <c r="C866" s="76"/>
    </row>
    <row r="867" customFormat="false" ht="15" hidden="false" customHeight="false" outlineLevel="0" collapsed="false">
      <c r="C867" s="76"/>
    </row>
    <row r="868" customFormat="false" ht="15" hidden="false" customHeight="false" outlineLevel="0" collapsed="false">
      <c r="C868" s="76"/>
    </row>
    <row r="869" customFormat="false" ht="15" hidden="false" customHeight="false" outlineLevel="0" collapsed="false">
      <c r="C869" s="76"/>
    </row>
    <row r="870" customFormat="false" ht="15" hidden="false" customHeight="false" outlineLevel="0" collapsed="false">
      <c r="C870" s="76"/>
    </row>
    <row r="871" customFormat="false" ht="15" hidden="false" customHeight="false" outlineLevel="0" collapsed="false">
      <c r="C871" s="76"/>
    </row>
    <row r="872" customFormat="false" ht="15" hidden="false" customHeight="false" outlineLevel="0" collapsed="false">
      <c r="C872" s="76"/>
    </row>
    <row r="873" customFormat="false" ht="15" hidden="false" customHeight="false" outlineLevel="0" collapsed="false">
      <c r="C873" s="76"/>
    </row>
    <row r="874" customFormat="false" ht="15" hidden="false" customHeight="false" outlineLevel="0" collapsed="false">
      <c r="C874" s="76"/>
    </row>
    <row r="875" customFormat="false" ht="15" hidden="false" customHeight="false" outlineLevel="0" collapsed="false">
      <c r="C875" s="76"/>
    </row>
    <row r="876" customFormat="false" ht="15" hidden="false" customHeight="false" outlineLevel="0" collapsed="false">
      <c r="C876" s="76"/>
    </row>
    <row r="877" customFormat="false" ht="15" hidden="false" customHeight="false" outlineLevel="0" collapsed="false">
      <c r="C877" s="76"/>
    </row>
    <row r="878" customFormat="false" ht="15" hidden="false" customHeight="false" outlineLevel="0" collapsed="false">
      <c r="C878" s="76"/>
    </row>
    <row r="879" customFormat="false" ht="15" hidden="false" customHeight="false" outlineLevel="0" collapsed="false">
      <c r="C879" s="76"/>
    </row>
    <row r="880" customFormat="false" ht="15" hidden="false" customHeight="false" outlineLevel="0" collapsed="false">
      <c r="C880" s="76"/>
    </row>
    <row r="881" customFormat="false" ht="15" hidden="false" customHeight="false" outlineLevel="0" collapsed="false">
      <c r="C881" s="76"/>
    </row>
    <row r="882" customFormat="false" ht="15" hidden="false" customHeight="false" outlineLevel="0" collapsed="false">
      <c r="C882" s="76"/>
    </row>
    <row r="883" customFormat="false" ht="15" hidden="false" customHeight="false" outlineLevel="0" collapsed="false">
      <c r="C883" s="76"/>
    </row>
    <row r="884" customFormat="false" ht="15" hidden="false" customHeight="false" outlineLevel="0" collapsed="false">
      <c r="C884" s="76"/>
    </row>
    <row r="885" customFormat="false" ht="15" hidden="false" customHeight="false" outlineLevel="0" collapsed="false">
      <c r="C885" s="76"/>
    </row>
    <row r="886" customFormat="false" ht="15" hidden="false" customHeight="false" outlineLevel="0" collapsed="false">
      <c r="C886" s="76"/>
    </row>
    <row r="887" customFormat="false" ht="15" hidden="false" customHeight="false" outlineLevel="0" collapsed="false">
      <c r="C887" s="76"/>
    </row>
    <row r="888" customFormat="false" ht="15" hidden="false" customHeight="false" outlineLevel="0" collapsed="false">
      <c r="C888" s="76"/>
    </row>
    <row r="889" customFormat="false" ht="15" hidden="false" customHeight="false" outlineLevel="0" collapsed="false">
      <c r="C889" s="76"/>
    </row>
    <row r="890" customFormat="false" ht="15" hidden="false" customHeight="false" outlineLevel="0" collapsed="false">
      <c r="C890" s="76"/>
    </row>
    <row r="891" customFormat="false" ht="15" hidden="false" customHeight="false" outlineLevel="0" collapsed="false">
      <c r="C891" s="76"/>
    </row>
    <row r="892" customFormat="false" ht="15" hidden="false" customHeight="false" outlineLevel="0" collapsed="false">
      <c r="C892" s="76"/>
    </row>
    <row r="893" customFormat="false" ht="15" hidden="false" customHeight="false" outlineLevel="0" collapsed="false">
      <c r="C893" s="76"/>
    </row>
    <row r="894" customFormat="false" ht="15" hidden="false" customHeight="false" outlineLevel="0" collapsed="false">
      <c r="C894" s="76"/>
    </row>
    <row r="895" customFormat="false" ht="15" hidden="false" customHeight="false" outlineLevel="0" collapsed="false">
      <c r="C895" s="76"/>
    </row>
    <row r="896" customFormat="false" ht="15" hidden="false" customHeight="false" outlineLevel="0" collapsed="false">
      <c r="C896" s="76"/>
    </row>
    <row r="897" customFormat="false" ht="15" hidden="false" customHeight="false" outlineLevel="0" collapsed="false">
      <c r="C897" s="76"/>
    </row>
    <row r="898" customFormat="false" ht="15" hidden="false" customHeight="false" outlineLevel="0" collapsed="false">
      <c r="C898" s="76"/>
    </row>
    <row r="899" customFormat="false" ht="15" hidden="false" customHeight="false" outlineLevel="0" collapsed="false">
      <c r="C899" s="76"/>
    </row>
    <row r="900" customFormat="false" ht="15" hidden="false" customHeight="false" outlineLevel="0" collapsed="false">
      <c r="C900" s="76"/>
    </row>
    <row r="901" customFormat="false" ht="15" hidden="false" customHeight="false" outlineLevel="0" collapsed="false">
      <c r="C901" s="76"/>
    </row>
    <row r="902" customFormat="false" ht="15" hidden="false" customHeight="false" outlineLevel="0" collapsed="false">
      <c r="C902" s="76"/>
    </row>
    <row r="903" customFormat="false" ht="15" hidden="false" customHeight="false" outlineLevel="0" collapsed="false">
      <c r="C903" s="76"/>
    </row>
    <row r="904" customFormat="false" ht="15" hidden="false" customHeight="false" outlineLevel="0" collapsed="false">
      <c r="C904" s="76"/>
    </row>
    <row r="905" customFormat="false" ht="15" hidden="false" customHeight="false" outlineLevel="0" collapsed="false">
      <c r="C905" s="76"/>
    </row>
    <row r="906" customFormat="false" ht="15" hidden="false" customHeight="false" outlineLevel="0" collapsed="false">
      <c r="C906" s="76"/>
    </row>
    <row r="907" customFormat="false" ht="15" hidden="false" customHeight="false" outlineLevel="0" collapsed="false">
      <c r="C907" s="76"/>
    </row>
    <row r="908" customFormat="false" ht="15" hidden="false" customHeight="false" outlineLevel="0" collapsed="false">
      <c r="C908" s="76"/>
    </row>
    <row r="909" customFormat="false" ht="15" hidden="false" customHeight="false" outlineLevel="0" collapsed="false">
      <c r="C909" s="76"/>
    </row>
    <row r="910" customFormat="false" ht="15" hidden="false" customHeight="false" outlineLevel="0" collapsed="false">
      <c r="C910" s="76"/>
    </row>
    <row r="911" customFormat="false" ht="15" hidden="false" customHeight="false" outlineLevel="0" collapsed="false">
      <c r="C911" s="76"/>
    </row>
    <row r="912" customFormat="false" ht="15" hidden="false" customHeight="false" outlineLevel="0" collapsed="false">
      <c r="C912" s="76"/>
    </row>
    <row r="913" customFormat="false" ht="15" hidden="false" customHeight="false" outlineLevel="0" collapsed="false">
      <c r="C913" s="76"/>
    </row>
    <row r="914" customFormat="false" ht="15" hidden="false" customHeight="false" outlineLevel="0" collapsed="false">
      <c r="C914" s="76"/>
    </row>
    <row r="915" customFormat="false" ht="15" hidden="false" customHeight="false" outlineLevel="0" collapsed="false">
      <c r="C915" s="76"/>
    </row>
    <row r="916" customFormat="false" ht="15" hidden="false" customHeight="false" outlineLevel="0" collapsed="false">
      <c r="C916" s="76"/>
    </row>
    <row r="917" customFormat="false" ht="15" hidden="false" customHeight="false" outlineLevel="0" collapsed="false">
      <c r="C917" s="76"/>
    </row>
    <row r="918" customFormat="false" ht="15" hidden="false" customHeight="false" outlineLevel="0" collapsed="false">
      <c r="C918" s="76"/>
    </row>
    <row r="919" customFormat="false" ht="15" hidden="false" customHeight="false" outlineLevel="0" collapsed="false">
      <c r="C919" s="76"/>
    </row>
    <row r="920" customFormat="false" ht="15" hidden="false" customHeight="false" outlineLevel="0" collapsed="false">
      <c r="C920" s="76"/>
    </row>
    <row r="921" customFormat="false" ht="15" hidden="false" customHeight="false" outlineLevel="0" collapsed="false">
      <c r="C921" s="76"/>
    </row>
    <row r="922" customFormat="false" ht="15" hidden="false" customHeight="false" outlineLevel="0" collapsed="false">
      <c r="C922" s="76"/>
    </row>
    <row r="923" customFormat="false" ht="15" hidden="false" customHeight="false" outlineLevel="0" collapsed="false">
      <c r="C923" s="76"/>
    </row>
    <row r="924" customFormat="false" ht="15" hidden="false" customHeight="false" outlineLevel="0" collapsed="false">
      <c r="C924" s="76"/>
    </row>
    <row r="925" customFormat="false" ht="15" hidden="false" customHeight="false" outlineLevel="0" collapsed="false">
      <c r="C925" s="76"/>
    </row>
    <row r="926" customFormat="false" ht="15" hidden="false" customHeight="false" outlineLevel="0" collapsed="false">
      <c r="C926" s="76"/>
    </row>
    <row r="927" customFormat="false" ht="15" hidden="false" customHeight="false" outlineLevel="0" collapsed="false">
      <c r="C927" s="76"/>
    </row>
    <row r="928" customFormat="false" ht="15" hidden="false" customHeight="false" outlineLevel="0" collapsed="false">
      <c r="C928" s="76"/>
    </row>
    <row r="929" customFormat="false" ht="15" hidden="false" customHeight="false" outlineLevel="0" collapsed="false">
      <c r="C929" s="76"/>
    </row>
    <row r="930" customFormat="false" ht="15" hidden="false" customHeight="false" outlineLevel="0" collapsed="false">
      <c r="C930" s="76"/>
    </row>
    <row r="931" customFormat="false" ht="15" hidden="false" customHeight="false" outlineLevel="0" collapsed="false">
      <c r="C931" s="76"/>
    </row>
    <row r="932" customFormat="false" ht="15" hidden="false" customHeight="false" outlineLevel="0" collapsed="false">
      <c r="C932" s="76"/>
    </row>
    <row r="933" customFormat="false" ht="15" hidden="false" customHeight="false" outlineLevel="0" collapsed="false">
      <c r="C933" s="76"/>
    </row>
    <row r="934" customFormat="false" ht="15" hidden="false" customHeight="false" outlineLevel="0" collapsed="false">
      <c r="C934" s="76"/>
    </row>
    <row r="935" customFormat="false" ht="15" hidden="false" customHeight="false" outlineLevel="0" collapsed="false">
      <c r="C935" s="76"/>
    </row>
    <row r="936" customFormat="false" ht="15" hidden="false" customHeight="false" outlineLevel="0" collapsed="false">
      <c r="C936" s="76"/>
    </row>
    <row r="937" customFormat="false" ht="15" hidden="false" customHeight="false" outlineLevel="0" collapsed="false">
      <c r="C937" s="76"/>
    </row>
    <row r="938" customFormat="false" ht="15" hidden="false" customHeight="false" outlineLevel="0" collapsed="false">
      <c r="C938" s="76"/>
    </row>
    <row r="939" customFormat="false" ht="15" hidden="false" customHeight="false" outlineLevel="0" collapsed="false">
      <c r="C939" s="76"/>
    </row>
    <row r="940" customFormat="false" ht="15" hidden="false" customHeight="false" outlineLevel="0" collapsed="false">
      <c r="C940" s="76"/>
    </row>
    <row r="941" customFormat="false" ht="15" hidden="false" customHeight="false" outlineLevel="0" collapsed="false">
      <c r="C941" s="76"/>
    </row>
    <row r="942" customFormat="false" ht="15" hidden="false" customHeight="false" outlineLevel="0" collapsed="false">
      <c r="C942" s="76"/>
    </row>
    <row r="943" customFormat="false" ht="15" hidden="false" customHeight="false" outlineLevel="0" collapsed="false">
      <c r="C943" s="76"/>
    </row>
    <row r="944" customFormat="false" ht="15" hidden="false" customHeight="false" outlineLevel="0" collapsed="false">
      <c r="C944" s="76"/>
    </row>
    <row r="945" customFormat="false" ht="15" hidden="false" customHeight="false" outlineLevel="0" collapsed="false">
      <c r="C945" s="76"/>
    </row>
    <row r="946" customFormat="false" ht="15" hidden="false" customHeight="false" outlineLevel="0" collapsed="false">
      <c r="C946" s="76"/>
    </row>
    <row r="947" customFormat="false" ht="15" hidden="false" customHeight="false" outlineLevel="0" collapsed="false">
      <c r="C947" s="76"/>
    </row>
    <row r="948" customFormat="false" ht="15" hidden="false" customHeight="false" outlineLevel="0" collapsed="false">
      <c r="C948" s="76"/>
    </row>
    <row r="949" customFormat="false" ht="15" hidden="false" customHeight="false" outlineLevel="0" collapsed="false">
      <c r="C949" s="76"/>
    </row>
    <row r="950" customFormat="false" ht="15" hidden="false" customHeight="false" outlineLevel="0" collapsed="false">
      <c r="C950" s="76"/>
    </row>
    <row r="951" customFormat="false" ht="15" hidden="false" customHeight="false" outlineLevel="0" collapsed="false">
      <c r="C951" s="76"/>
    </row>
    <row r="952" customFormat="false" ht="15" hidden="false" customHeight="false" outlineLevel="0" collapsed="false">
      <c r="C952" s="76"/>
    </row>
    <row r="953" customFormat="false" ht="15" hidden="false" customHeight="false" outlineLevel="0" collapsed="false">
      <c r="C953" s="76"/>
    </row>
    <row r="954" customFormat="false" ht="15" hidden="false" customHeight="false" outlineLevel="0" collapsed="false">
      <c r="C954" s="76"/>
    </row>
    <row r="955" customFormat="false" ht="15" hidden="false" customHeight="false" outlineLevel="0" collapsed="false">
      <c r="C955" s="76"/>
    </row>
    <row r="956" customFormat="false" ht="15" hidden="false" customHeight="false" outlineLevel="0" collapsed="false">
      <c r="C956" s="76"/>
    </row>
    <row r="957" customFormat="false" ht="15" hidden="false" customHeight="false" outlineLevel="0" collapsed="false">
      <c r="C957" s="76"/>
    </row>
    <row r="958" customFormat="false" ht="15" hidden="false" customHeight="false" outlineLevel="0" collapsed="false">
      <c r="C958" s="76"/>
    </row>
    <row r="959" customFormat="false" ht="15" hidden="false" customHeight="false" outlineLevel="0" collapsed="false">
      <c r="C959" s="76"/>
    </row>
    <row r="960" customFormat="false" ht="15" hidden="false" customHeight="false" outlineLevel="0" collapsed="false">
      <c r="C960" s="76"/>
    </row>
    <row r="961" customFormat="false" ht="15" hidden="false" customHeight="false" outlineLevel="0" collapsed="false">
      <c r="C961" s="76"/>
    </row>
    <row r="962" customFormat="false" ht="15" hidden="false" customHeight="false" outlineLevel="0" collapsed="false">
      <c r="C962" s="76"/>
    </row>
    <row r="963" customFormat="false" ht="15" hidden="false" customHeight="false" outlineLevel="0" collapsed="false">
      <c r="C963" s="76"/>
    </row>
    <row r="964" customFormat="false" ht="15" hidden="false" customHeight="false" outlineLevel="0" collapsed="false">
      <c r="C964" s="76"/>
    </row>
    <row r="965" customFormat="false" ht="15" hidden="false" customHeight="false" outlineLevel="0" collapsed="false">
      <c r="C965" s="76"/>
    </row>
    <row r="966" customFormat="false" ht="15" hidden="false" customHeight="false" outlineLevel="0" collapsed="false">
      <c r="C966" s="76"/>
    </row>
    <row r="967" customFormat="false" ht="15" hidden="false" customHeight="false" outlineLevel="0" collapsed="false">
      <c r="C967" s="76"/>
    </row>
    <row r="968" customFormat="false" ht="15" hidden="false" customHeight="false" outlineLevel="0" collapsed="false">
      <c r="C968" s="76"/>
    </row>
    <row r="969" customFormat="false" ht="15" hidden="false" customHeight="false" outlineLevel="0" collapsed="false">
      <c r="C969" s="76"/>
    </row>
    <row r="970" customFormat="false" ht="15" hidden="false" customHeight="false" outlineLevel="0" collapsed="false">
      <c r="C970" s="76"/>
    </row>
    <row r="971" customFormat="false" ht="15" hidden="false" customHeight="false" outlineLevel="0" collapsed="false">
      <c r="C971" s="76"/>
    </row>
    <row r="972" customFormat="false" ht="15" hidden="false" customHeight="false" outlineLevel="0" collapsed="false">
      <c r="C972" s="76"/>
    </row>
    <row r="973" customFormat="false" ht="15" hidden="false" customHeight="false" outlineLevel="0" collapsed="false">
      <c r="C973" s="76"/>
    </row>
    <row r="974" customFormat="false" ht="15" hidden="false" customHeight="false" outlineLevel="0" collapsed="false">
      <c r="C974" s="76"/>
    </row>
    <row r="975" customFormat="false" ht="15" hidden="false" customHeight="false" outlineLevel="0" collapsed="false">
      <c r="C975" s="76"/>
    </row>
    <row r="976" customFormat="false" ht="15" hidden="false" customHeight="false" outlineLevel="0" collapsed="false">
      <c r="C976" s="76"/>
    </row>
    <row r="977" customFormat="false" ht="15" hidden="false" customHeight="false" outlineLevel="0" collapsed="false">
      <c r="C977" s="76"/>
    </row>
    <row r="978" customFormat="false" ht="15" hidden="false" customHeight="false" outlineLevel="0" collapsed="false">
      <c r="C978" s="76"/>
    </row>
    <row r="979" customFormat="false" ht="15" hidden="false" customHeight="false" outlineLevel="0" collapsed="false">
      <c r="C979" s="76"/>
    </row>
    <row r="980" customFormat="false" ht="15" hidden="false" customHeight="false" outlineLevel="0" collapsed="false">
      <c r="C980" s="76"/>
    </row>
    <row r="981" customFormat="false" ht="15" hidden="false" customHeight="false" outlineLevel="0" collapsed="false">
      <c r="C981" s="76"/>
    </row>
    <row r="982" customFormat="false" ht="15" hidden="false" customHeight="false" outlineLevel="0" collapsed="false">
      <c r="C982" s="76"/>
    </row>
    <row r="983" customFormat="false" ht="15" hidden="false" customHeight="false" outlineLevel="0" collapsed="false">
      <c r="C983" s="76"/>
    </row>
    <row r="984" customFormat="false" ht="15" hidden="false" customHeight="false" outlineLevel="0" collapsed="false">
      <c r="C984" s="76"/>
    </row>
    <row r="985" customFormat="false" ht="15" hidden="false" customHeight="false" outlineLevel="0" collapsed="false">
      <c r="C985" s="76"/>
    </row>
    <row r="986" customFormat="false" ht="15" hidden="false" customHeight="false" outlineLevel="0" collapsed="false">
      <c r="C986" s="76"/>
    </row>
    <row r="987" customFormat="false" ht="15" hidden="false" customHeight="false" outlineLevel="0" collapsed="false">
      <c r="C987" s="76"/>
    </row>
    <row r="988" customFormat="false" ht="15" hidden="false" customHeight="false" outlineLevel="0" collapsed="false">
      <c r="C988" s="76"/>
    </row>
    <row r="989" customFormat="false" ht="15" hidden="false" customHeight="false" outlineLevel="0" collapsed="false">
      <c r="C989" s="76"/>
    </row>
    <row r="990" customFormat="false" ht="15" hidden="false" customHeight="false" outlineLevel="0" collapsed="false">
      <c r="C990" s="76"/>
    </row>
    <row r="991" customFormat="false" ht="15" hidden="false" customHeight="false" outlineLevel="0" collapsed="false">
      <c r="C991" s="76"/>
    </row>
    <row r="992" customFormat="false" ht="15" hidden="false" customHeight="false" outlineLevel="0" collapsed="false">
      <c r="C992" s="76"/>
    </row>
    <row r="993" customFormat="false" ht="15" hidden="false" customHeight="false" outlineLevel="0" collapsed="false">
      <c r="C993" s="76"/>
    </row>
    <row r="994" customFormat="false" ht="15" hidden="false" customHeight="false" outlineLevel="0" collapsed="false">
      <c r="C994" s="76"/>
    </row>
    <row r="995" customFormat="false" ht="15" hidden="false" customHeight="false" outlineLevel="0" collapsed="false">
      <c r="C995" s="76"/>
    </row>
    <row r="996" customFormat="false" ht="15" hidden="false" customHeight="false" outlineLevel="0" collapsed="false">
      <c r="C996" s="76"/>
    </row>
    <row r="997" customFormat="false" ht="15" hidden="false" customHeight="false" outlineLevel="0" collapsed="false">
      <c r="C997" s="76"/>
    </row>
    <row r="998" customFormat="false" ht="15" hidden="false" customHeight="false" outlineLevel="0" collapsed="false">
      <c r="C998" s="76"/>
    </row>
    <row r="999" customFormat="false" ht="15" hidden="false" customHeight="false" outlineLevel="0" collapsed="false">
      <c r="C999" s="76"/>
    </row>
    <row r="1000" customFormat="false" ht="15" hidden="false" customHeight="false" outlineLevel="0" collapsed="false">
      <c r="C1000" s="76"/>
    </row>
    <row r="1001" customFormat="false" ht="15" hidden="false" customHeight="false" outlineLevel="0" collapsed="false">
      <c r="C1001" s="76"/>
    </row>
    <row r="1002" customFormat="false" ht="15" hidden="false" customHeight="false" outlineLevel="0" collapsed="false">
      <c r="C1002" s="76"/>
    </row>
    <row r="1003" customFormat="false" ht="15" hidden="false" customHeight="false" outlineLevel="0" collapsed="false">
      <c r="C1003" s="76"/>
    </row>
    <row r="1004" customFormat="false" ht="15" hidden="false" customHeight="false" outlineLevel="0" collapsed="false">
      <c r="C1004" s="76"/>
    </row>
    <row r="1005" customFormat="false" ht="15" hidden="false" customHeight="false" outlineLevel="0" collapsed="false">
      <c r="C1005" s="76"/>
    </row>
    <row r="1006" customFormat="false" ht="15" hidden="false" customHeight="false" outlineLevel="0" collapsed="false">
      <c r="C1006" s="76"/>
    </row>
    <row r="1007" customFormat="false" ht="15" hidden="false" customHeight="false" outlineLevel="0" collapsed="false">
      <c r="C1007" s="76"/>
    </row>
    <row r="1008" customFormat="false" ht="15" hidden="false" customHeight="false" outlineLevel="0" collapsed="false">
      <c r="C1008" s="76"/>
    </row>
    <row r="1009" customFormat="false" ht="15" hidden="false" customHeight="false" outlineLevel="0" collapsed="false">
      <c r="C1009" s="76"/>
    </row>
    <row r="1010" customFormat="false" ht="15" hidden="false" customHeight="false" outlineLevel="0" collapsed="false">
      <c r="C1010" s="76"/>
    </row>
    <row r="1011" customFormat="false" ht="15" hidden="false" customHeight="false" outlineLevel="0" collapsed="false">
      <c r="C1011" s="76"/>
    </row>
    <row r="1012" customFormat="false" ht="15" hidden="false" customHeight="false" outlineLevel="0" collapsed="false">
      <c r="C1012" s="76"/>
    </row>
    <row r="1013" customFormat="false" ht="15" hidden="false" customHeight="false" outlineLevel="0" collapsed="false">
      <c r="C1013" s="76"/>
    </row>
    <row r="1014" customFormat="false" ht="15" hidden="false" customHeight="false" outlineLevel="0" collapsed="false">
      <c r="C1014" s="76"/>
    </row>
    <row r="1015" customFormat="false" ht="15" hidden="false" customHeight="false" outlineLevel="0" collapsed="false">
      <c r="C1015" s="76"/>
    </row>
    <row r="1016" customFormat="false" ht="15" hidden="false" customHeight="false" outlineLevel="0" collapsed="false">
      <c r="C1016" s="76"/>
    </row>
    <row r="1017" customFormat="false" ht="15" hidden="false" customHeight="false" outlineLevel="0" collapsed="false">
      <c r="C1017" s="76"/>
    </row>
    <row r="1018" customFormat="false" ht="15" hidden="false" customHeight="false" outlineLevel="0" collapsed="false">
      <c r="C1018" s="76"/>
    </row>
    <row r="1019" customFormat="false" ht="15" hidden="false" customHeight="false" outlineLevel="0" collapsed="false">
      <c r="C1019" s="76"/>
    </row>
    <row r="1020" customFormat="false" ht="15" hidden="false" customHeight="false" outlineLevel="0" collapsed="false">
      <c r="C1020" s="76"/>
    </row>
    <row r="1021" customFormat="false" ht="15" hidden="false" customHeight="false" outlineLevel="0" collapsed="false">
      <c r="C1021" s="76"/>
    </row>
    <row r="1022" customFormat="false" ht="15" hidden="false" customHeight="false" outlineLevel="0" collapsed="false">
      <c r="C1022" s="76"/>
    </row>
    <row r="1023" customFormat="false" ht="15" hidden="false" customHeight="false" outlineLevel="0" collapsed="false">
      <c r="C1023" s="76"/>
    </row>
    <row r="1024" customFormat="false" ht="15" hidden="false" customHeight="false" outlineLevel="0" collapsed="false">
      <c r="C1024" s="76"/>
    </row>
    <row r="1025" customFormat="false" ht="15" hidden="false" customHeight="false" outlineLevel="0" collapsed="false">
      <c r="C1025" s="76"/>
    </row>
    <row r="1026" customFormat="false" ht="15" hidden="false" customHeight="false" outlineLevel="0" collapsed="false">
      <c r="C1026" s="76"/>
    </row>
    <row r="1027" customFormat="false" ht="15" hidden="false" customHeight="false" outlineLevel="0" collapsed="false">
      <c r="C1027" s="76"/>
    </row>
    <row r="1028" customFormat="false" ht="15" hidden="false" customHeight="false" outlineLevel="0" collapsed="false">
      <c r="C1028" s="76"/>
    </row>
    <row r="1029" customFormat="false" ht="15" hidden="false" customHeight="false" outlineLevel="0" collapsed="false">
      <c r="C1029" s="76"/>
    </row>
    <row r="1030" customFormat="false" ht="15" hidden="false" customHeight="false" outlineLevel="0" collapsed="false">
      <c r="C1030" s="76"/>
    </row>
    <row r="1031" customFormat="false" ht="15" hidden="false" customHeight="false" outlineLevel="0" collapsed="false">
      <c r="C1031" s="76"/>
    </row>
    <row r="1032" customFormat="false" ht="15" hidden="false" customHeight="false" outlineLevel="0" collapsed="false">
      <c r="C1032" s="76"/>
    </row>
    <row r="1033" customFormat="false" ht="15" hidden="false" customHeight="false" outlineLevel="0" collapsed="false">
      <c r="C1033" s="76"/>
    </row>
    <row r="1034" customFormat="false" ht="15" hidden="false" customHeight="false" outlineLevel="0" collapsed="false">
      <c r="C1034" s="76"/>
    </row>
    <row r="1035" customFormat="false" ht="15" hidden="false" customHeight="false" outlineLevel="0" collapsed="false">
      <c r="C1035" s="76"/>
    </row>
    <row r="1036" customFormat="false" ht="15" hidden="false" customHeight="false" outlineLevel="0" collapsed="false">
      <c r="C1036" s="76"/>
    </row>
    <row r="1037" customFormat="false" ht="15" hidden="false" customHeight="false" outlineLevel="0" collapsed="false">
      <c r="C1037" s="76"/>
    </row>
    <row r="1038" customFormat="false" ht="15" hidden="false" customHeight="false" outlineLevel="0" collapsed="false">
      <c r="C1038" s="76"/>
    </row>
    <row r="1039" customFormat="false" ht="15" hidden="false" customHeight="false" outlineLevel="0" collapsed="false">
      <c r="C1039" s="76"/>
    </row>
    <row r="1040" customFormat="false" ht="15" hidden="false" customHeight="false" outlineLevel="0" collapsed="false">
      <c r="C1040" s="76"/>
    </row>
    <row r="1041" customFormat="false" ht="15" hidden="false" customHeight="false" outlineLevel="0" collapsed="false">
      <c r="C1041" s="76"/>
    </row>
    <row r="1042" customFormat="false" ht="15" hidden="false" customHeight="false" outlineLevel="0" collapsed="false">
      <c r="C1042" s="76"/>
    </row>
    <row r="1043" customFormat="false" ht="15" hidden="false" customHeight="false" outlineLevel="0" collapsed="false">
      <c r="C1043" s="76"/>
    </row>
    <row r="1044" customFormat="false" ht="15" hidden="false" customHeight="false" outlineLevel="0" collapsed="false">
      <c r="C1044" s="76"/>
    </row>
    <row r="1045" customFormat="false" ht="15" hidden="false" customHeight="false" outlineLevel="0" collapsed="false">
      <c r="C1045" s="76"/>
    </row>
    <row r="1046" customFormat="false" ht="15" hidden="false" customHeight="false" outlineLevel="0" collapsed="false">
      <c r="C1046" s="76"/>
    </row>
    <row r="1047" customFormat="false" ht="15" hidden="false" customHeight="false" outlineLevel="0" collapsed="false">
      <c r="C1047" s="76"/>
    </row>
    <row r="1048" customFormat="false" ht="15" hidden="false" customHeight="false" outlineLevel="0" collapsed="false">
      <c r="C1048" s="76"/>
    </row>
    <row r="1049" customFormat="false" ht="15" hidden="false" customHeight="false" outlineLevel="0" collapsed="false">
      <c r="C1049" s="76"/>
    </row>
    <row r="1050" customFormat="false" ht="15" hidden="false" customHeight="false" outlineLevel="0" collapsed="false">
      <c r="C1050" s="76"/>
    </row>
    <row r="1051" customFormat="false" ht="15" hidden="false" customHeight="false" outlineLevel="0" collapsed="false">
      <c r="C1051" s="76"/>
    </row>
    <row r="1052" customFormat="false" ht="15" hidden="false" customHeight="false" outlineLevel="0" collapsed="false">
      <c r="C1052" s="76"/>
    </row>
    <row r="1053" customFormat="false" ht="15" hidden="false" customHeight="false" outlineLevel="0" collapsed="false">
      <c r="C1053" s="76"/>
    </row>
    <row r="1054" customFormat="false" ht="15" hidden="false" customHeight="false" outlineLevel="0" collapsed="false">
      <c r="C1054" s="76"/>
    </row>
    <row r="1055" customFormat="false" ht="15" hidden="false" customHeight="false" outlineLevel="0" collapsed="false">
      <c r="C1055" s="76"/>
    </row>
    <row r="1056" customFormat="false" ht="15" hidden="false" customHeight="false" outlineLevel="0" collapsed="false">
      <c r="C1056" s="76"/>
    </row>
    <row r="1057" customFormat="false" ht="15" hidden="false" customHeight="false" outlineLevel="0" collapsed="false">
      <c r="C1057" s="76"/>
    </row>
    <row r="1058" customFormat="false" ht="15" hidden="false" customHeight="false" outlineLevel="0" collapsed="false">
      <c r="C1058" s="76"/>
    </row>
    <row r="1059" customFormat="false" ht="15" hidden="false" customHeight="false" outlineLevel="0" collapsed="false">
      <c r="C1059" s="76"/>
    </row>
    <row r="1060" customFormat="false" ht="15" hidden="false" customHeight="false" outlineLevel="0" collapsed="false">
      <c r="C1060" s="76"/>
    </row>
    <row r="1061" customFormat="false" ht="15" hidden="false" customHeight="false" outlineLevel="0" collapsed="false">
      <c r="C1061" s="76"/>
    </row>
    <row r="1062" customFormat="false" ht="15" hidden="false" customHeight="false" outlineLevel="0" collapsed="false">
      <c r="C1062" s="76"/>
    </row>
    <row r="1063" customFormat="false" ht="15" hidden="false" customHeight="false" outlineLevel="0" collapsed="false">
      <c r="C1063" s="76"/>
    </row>
    <row r="1064" customFormat="false" ht="15" hidden="false" customHeight="false" outlineLevel="0" collapsed="false">
      <c r="C1064" s="76"/>
    </row>
    <row r="1065" customFormat="false" ht="15" hidden="false" customHeight="false" outlineLevel="0" collapsed="false">
      <c r="C1065" s="76"/>
    </row>
    <row r="1066" customFormat="false" ht="15" hidden="false" customHeight="false" outlineLevel="0" collapsed="false">
      <c r="C1066" s="76"/>
    </row>
    <row r="1067" customFormat="false" ht="15" hidden="false" customHeight="false" outlineLevel="0" collapsed="false">
      <c r="C1067" s="76"/>
    </row>
    <row r="1068" customFormat="false" ht="15" hidden="false" customHeight="false" outlineLevel="0" collapsed="false">
      <c r="C1068" s="76"/>
    </row>
    <row r="1069" customFormat="false" ht="15" hidden="false" customHeight="false" outlineLevel="0" collapsed="false">
      <c r="C1069" s="76"/>
    </row>
    <row r="1070" customFormat="false" ht="15" hidden="false" customHeight="false" outlineLevel="0" collapsed="false">
      <c r="C1070" s="76"/>
    </row>
    <row r="1071" customFormat="false" ht="15" hidden="false" customHeight="false" outlineLevel="0" collapsed="false">
      <c r="C1071" s="76"/>
    </row>
    <row r="1072" customFormat="false" ht="15" hidden="false" customHeight="false" outlineLevel="0" collapsed="false">
      <c r="C1072" s="76"/>
    </row>
    <row r="1073" customFormat="false" ht="15" hidden="false" customHeight="false" outlineLevel="0" collapsed="false">
      <c r="C1073" s="76"/>
    </row>
    <row r="1074" customFormat="false" ht="15" hidden="false" customHeight="false" outlineLevel="0" collapsed="false">
      <c r="C1074" s="76"/>
    </row>
    <row r="1075" customFormat="false" ht="15" hidden="false" customHeight="false" outlineLevel="0" collapsed="false">
      <c r="C1075" s="76"/>
    </row>
    <row r="1076" customFormat="false" ht="15" hidden="false" customHeight="false" outlineLevel="0" collapsed="false">
      <c r="C1076" s="76"/>
    </row>
    <row r="1077" customFormat="false" ht="15" hidden="false" customHeight="false" outlineLevel="0" collapsed="false">
      <c r="C1077" s="76"/>
    </row>
    <row r="1078" customFormat="false" ht="15" hidden="false" customHeight="false" outlineLevel="0" collapsed="false">
      <c r="C1078" s="76"/>
    </row>
    <row r="1079" customFormat="false" ht="15" hidden="false" customHeight="false" outlineLevel="0" collapsed="false">
      <c r="C1079" s="76"/>
    </row>
    <row r="1080" customFormat="false" ht="15" hidden="false" customHeight="false" outlineLevel="0" collapsed="false">
      <c r="C1080" s="76"/>
    </row>
    <row r="1081" customFormat="false" ht="15" hidden="false" customHeight="false" outlineLevel="0" collapsed="false">
      <c r="C1081" s="76"/>
    </row>
    <row r="1082" customFormat="false" ht="15" hidden="false" customHeight="false" outlineLevel="0" collapsed="false">
      <c r="C1082" s="76"/>
    </row>
    <row r="1083" customFormat="false" ht="15" hidden="false" customHeight="false" outlineLevel="0" collapsed="false">
      <c r="C1083" s="76"/>
    </row>
    <row r="1084" customFormat="false" ht="15" hidden="false" customHeight="false" outlineLevel="0" collapsed="false">
      <c r="C1084" s="76"/>
    </row>
    <row r="1085" customFormat="false" ht="15" hidden="false" customHeight="false" outlineLevel="0" collapsed="false">
      <c r="C1085" s="76"/>
    </row>
    <row r="1086" customFormat="false" ht="15" hidden="false" customHeight="false" outlineLevel="0" collapsed="false">
      <c r="C1086" s="76"/>
    </row>
    <row r="1087" customFormat="false" ht="15" hidden="false" customHeight="false" outlineLevel="0" collapsed="false">
      <c r="C1087" s="76"/>
    </row>
    <row r="1088" customFormat="false" ht="15" hidden="false" customHeight="false" outlineLevel="0" collapsed="false">
      <c r="C1088" s="76"/>
    </row>
    <row r="1089" customFormat="false" ht="15" hidden="false" customHeight="false" outlineLevel="0" collapsed="false">
      <c r="C1089" s="76"/>
    </row>
    <row r="1090" customFormat="false" ht="15" hidden="false" customHeight="false" outlineLevel="0" collapsed="false">
      <c r="C1090" s="76"/>
    </row>
    <row r="1091" customFormat="false" ht="15" hidden="false" customHeight="false" outlineLevel="0" collapsed="false">
      <c r="C1091" s="76"/>
    </row>
    <row r="1092" customFormat="false" ht="15" hidden="false" customHeight="false" outlineLevel="0" collapsed="false">
      <c r="C1092" s="76"/>
    </row>
    <row r="1093" customFormat="false" ht="15" hidden="false" customHeight="false" outlineLevel="0" collapsed="false">
      <c r="C1093" s="76"/>
    </row>
    <row r="1094" customFormat="false" ht="15" hidden="false" customHeight="false" outlineLevel="0" collapsed="false">
      <c r="C1094" s="76"/>
    </row>
    <row r="1095" customFormat="false" ht="15" hidden="false" customHeight="false" outlineLevel="0" collapsed="false">
      <c r="C1095" s="76"/>
    </row>
    <row r="1096" customFormat="false" ht="15" hidden="false" customHeight="false" outlineLevel="0" collapsed="false">
      <c r="C1096" s="76"/>
    </row>
  </sheetData>
  <autoFilter ref="A1:K63"/>
  <mergeCells count="1">
    <mergeCell ref="G43:G45"/>
  </mergeCells>
  <dataValidations count="1">
    <dataValidation allowBlank="true" operator="between" showDropDown="false" showErrorMessage="true" showInputMessage="true" sqref="C3:C1096" type="custom">
      <formula1>"INGRESO,EGRESO"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5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23" activeCellId="0" sqref="E23"/>
    </sheetView>
  </sheetViews>
  <sheetFormatPr defaultColWidth="8.5390625" defaultRowHeight="15" zeroHeight="false" outlineLevelRow="0" outlineLevelCol="0"/>
  <cols>
    <col collapsed="false" customWidth="true" hidden="false" outlineLevel="0" max="1" min="1" style="85" width="16.57"/>
    <col collapsed="false" customWidth="true" hidden="false" outlineLevel="0" max="2" min="2" style="0" width="10.71"/>
    <col collapsed="false" customWidth="true" hidden="false" outlineLevel="0" max="3" min="3" style="0" width="13.28"/>
    <col collapsed="false" customWidth="true" hidden="false" outlineLevel="0" max="4" min="4" style="0" width="20.14"/>
    <col collapsed="false" customWidth="true" hidden="false" outlineLevel="0" max="5" min="5" style="79" width="51.43"/>
    <col collapsed="false" customWidth="true" hidden="false" outlineLevel="0" max="6" min="6" style="0" width="22.28"/>
    <col collapsed="false" customWidth="true" hidden="false" outlineLevel="0" max="7" min="7" style="0" width="12"/>
    <col collapsed="false" customWidth="true" hidden="false" outlineLevel="0" max="256" min="8" style="0" width="11.43"/>
  </cols>
  <sheetData>
    <row r="1" customFormat="false" ht="21" hidden="false" customHeight="false" outlineLevel="0" collapsed="false">
      <c r="A1" s="86" t="s">
        <v>34</v>
      </c>
      <c r="B1" s="70" t="s">
        <v>35</v>
      </c>
      <c r="C1" s="72" t="s">
        <v>38</v>
      </c>
      <c r="D1" s="72" t="s">
        <v>39</v>
      </c>
      <c r="F1" s="72" t="s">
        <v>130</v>
      </c>
      <c r="G1" s="79" t="n">
        <v>18000</v>
      </c>
    </row>
    <row r="2" customFormat="false" ht="15" hidden="true" customHeight="false" outlineLevel="0" collapsed="false">
      <c r="A2" s="87" t="n">
        <v>44152</v>
      </c>
      <c r="B2" s="88" t="str">
        <f aca="false">+TEXT(A2,"MMMM")</f>
        <v>noviembre</v>
      </c>
      <c r="C2" s="89" t="n">
        <v>-9000</v>
      </c>
      <c r="D2" s="89" t="n">
        <f aca="false">+G1+C2</f>
        <v>9000</v>
      </c>
    </row>
    <row r="3" customFormat="false" ht="15" hidden="false" customHeight="false" outlineLevel="0" collapsed="false">
      <c r="A3" s="90" t="n">
        <v>44196</v>
      </c>
      <c r="B3" s="91" t="str">
        <f aca="false">+TEXT(A3,"MMMM")</f>
        <v>diciembre</v>
      </c>
      <c r="C3" s="92" t="n">
        <v>1500</v>
      </c>
      <c r="D3" s="68" t="n">
        <f aca="false">+C3</f>
        <v>1500</v>
      </c>
    </row>
    <row r="4" customFormat="false" ht="15" hidden="false" customHeight="false" outlineLevel="0" collapsed="false">
      <c r="A4" s="74" t="n">
        <v>44213</v>
      </c>
      <c r="B4" s="75" t="str">
        <f aca="false">+TEXT(A4,"MMMM")</f>
        <v>enero</v>
      </c>
      <c r="C4" s="68" t="n">
        <v>200</v>
      </c>
      <c r="D4" s="68" t="n">
        <f aca="false">+C4+D3</f>
        <v>1700</v>
      </c>
    </row>
    <row r="5" customFormat="false" ht="15" hidden="false" customHeight="false" outlineLevel="0" collapsed="false">
      <c r="A5" s="74" t="n">
        <v>44225</v>
      </c>
      <c r="B5" s="75" t="str">
        <f aca="false">+TEXT(A5,"MMMM")</f>
        <v>enero</v>
      </c>
      <c r="C5" s="68" t="n">
        <v>750</v>
      </c>
      <c r="D5" s="68" t="n">
        <f aca="false">+C5+D4</f>
        <v>2450</v>
      </c>
    </row>
    <row r="6" customFormat="false" ht="15" hidden="false" customHeight="false" outlineLevel="0" collapsed="false">
      <c r="A6" s="85" t="n">
        <v>44232</v>
      </c>
      <c r="B6" s="75" t="str">
        <f aca="false">+TEXT(A6,"MMMM")</f>
        <v>febrero</v>
      </c>
      <c r="C6" s="68" t="n">
        <v>1500</v>
      </c>
      <c r="D6" s="68" t="n">
        <f aca="false">+C6+D5</f>
        <v>3950</v>
      </c>
    </row>
    <row r="7" customFormat="false" ht="15" hidden="false" customHeight="false" outlineLevel="0" collapsed="false">
      <c r="A7" s="85" t="n">
        <v>44232</v>
      </c>
      <c r="B7" s="75" t="str">
        <f aca="false">+TEXT(A7,"MMMM")</f>
        <v>febrero</v>
      </c>
      <c r="C7" s="68" t="n">
        <v>50</v>
      </c>
      <c r="D7" s="68" t="n">
        <f aca="false">+C7+D6</f>
        <v>4000</v>
      </c>
    </row>
    <row r="8" customFormat="false" ht="15" hidden="false" customHeight="false" outlineLevel="0" collapsed="false">
      <c r="A8" s="85" t="n">
        <v>44264</v>
      </c>
      <c r="B8" s="75" t="str">
        <f aca="false">+TEXT(A8,"MMMM")</f>
        <v>marzo</v>
      </c>
      <c r="C8" s="68" t="n">
        <v>155</v>
      </c>
      <c r="D8" s="68" t="n">
        <f aca="false">+C8+D7</f>
        <v>4155</v>
      </c>
    </row>
    <row r="9" customFormat="false" ht="15" hidden="false" customHeight="false" outlineLevel="0" collapsed="false">
      <c r="A9" s="85" t="n">
        <v>44283</v>
      </c>
      <c r="B9" s="75" t="str">
        <f aca="false">+TEXT(A9,"MMMM")</f>
        <v>marzo</v>
      </c>
      <c r="C9" s="68" t="n">
        <v>750</v>
      </c>
      <c r="D9" s="68" t="n">
        <f aca="false">+C9+D8</f>
        <v>4905</v>
      </c>
    </row>
    <row r="10" customFormat="false" ht="15" hidden="false" customHeight="false" outlineLevel="0" collapsed="false">
      <c r="A10" s="85" t="n">
        <v>44290</v>
      </c>
      <c r="B10" s="75" t="str">
        <f aca="false">+TEXT(A10,"MMMM")</f>
        <v>abril</v>
      </c>
      <c r="C10" s="68" t="n">
        <v>-100</v>
      </c>
      <c r="D10" s="68" t="n">
        <f aca="false">+C10+D9</f>
        <v>4805</v>
      </c>
      <c r="E10" s="93" t="s">
        <v>131</v>
      </c>
    </row>
    <row r="11" customFormat="false" ht="15" hidden="false" customHeight="false" outlineLevel="0" collapsed="false">
      <c r="A11" s="85" t="n">
        <v>44290</v>
      </c>
      <c r="B11" s="75" t="str">
        <f aca="false">+TEXT(A11,"MMMM")</f>
        <v>abril</v>
      </c>
      <c r="C11" s="68" t="n">
        <v>-4805</v>
      </c>
      <c r="D11" s="68" t="n">
        <f aca="false">+C11+D10</f>
        <v>0</v>
      </c>
      <c r="E11" s="93" t="s">
        <v>132</v>
      </c>
    </row>
    <row r="12" customFormat="false" ht="13.8" hidden="false" customHeight="false" outlineLevel="0" collapsed="false">
      <c r="A12" s="85" t="n">
        <v>44287</v>
      </c>
      <c r="B12" s="75" t="str">
        <f aca="false">+TEXT(A12,"MMMM")</f>
        <v>abril</v>
      </c>
      <c r="C12" s="68" t="n">
        <v>2000</v>
      </c>
      <c r="D12" s="68" t="n">
        <f aca="false">+C12+D11</f>
        <v>2000</v>
      </c>
      <c r="E12" s="93" t="s">
        <v>133</v>
      </c>
    </row>
    <row r="13" customFormat="false" ht="13.8" hidden="false" customHeight="false" outlineLevel="0" collapsed="false">
      <c r="A13" s="85" t="n">
        <v>44290</v>
      </c>
      <c r="B13" s="75" t="str">
        <f aca="false">+TEXT(A13,"MMMM")</f>
        <v>abril</v>
      </c>
      <c r="C13" s="68" t="n">
        <v>4805</v>
      </c>
      <c r="D13" s="68" t="n">
        <f aca="false">+C13+D12</f>
        <v>6805</v>
      </c>
      <c r="E13" s="93" t="s">
        <v>134</v>
      </c>
    </row>
    <row r="14" customFormat="false" ht="13.8" hidden="false" customHeight="false" outlineLevel="0" collapsed="false">
      <c r="A14" s="85" t="n">
        <v>44289</v>
      </c>
      <c r="B14" s="75" t="str">
        <f aca="false">+TEXT(A14,"MMMM")</f>
        <v>abril</v>
      </c>
      <c r="C14" s="68" t="n">
        <v>1100</v>
      </c>
      <c r="D14" s="68" t="n">
        <f aca="false">+C14+D13</f>
        <v>7905</v>
      </c>
      <c r="E14" s="93" t="s">
        <v>135</v>
      </c>
    </row>
    <row r="15" customFormat="false" ht="13.8" hidden="false" customHeight="false" outlineLevel="0" collapsed="false">
      <c r="A15" s="85" t="n">
        <v>44294</v>
      </c>
      <c r="B15" s="75" t="str">
        <f aca="false">+TEXT(A15,"MMMM")</f>
        <v>abril</v>
      </c>
      <c r="C15" s="68" t="n">
        <v>-17.49</v>
      </c>
      <c r="D15" s="68" t="n">
        <f aca="false">+C15+D14</f>
        <v>7887.51</v>
      </c>
      <c r="E15" s="93" t="s">
        <v>136</v>
      </c>
    </row>
    <row r="16" customFormat="false" ht="13.8" hidden="false" customHeight="false" outlineLevel="0" collapsed="false">
      <c r="A16" s="85" t="s">
        <v>137</v>
      </c>
      <c r="B16" s="75" t="str">
        <f aca="false">+TEXT(A16,"MMMM")</f>
        <v>-</v>
      </c>
      <c r="C16" s="68" t="n">
        <v>-200</v>
      </c>
      <c r="D16" s="68" t="n">
        <f aca="false">+C16+D15</f>
        <v>7687.51</v>
      </c>
      <c r="E16" s="93" t="s">
        <v>138</v>
      </c>
    </row>
    <row r="17" customFormat="false" ht="15" hidden="false" customHeight="false" outlineLevel="0" collapsed="false">
      <c r="A17" s="85" t="s">
        <v>137</v>
      </c>
      <c r="B17" s="75" t="str">
        <f aca="false">+TEXT(A17,"MMMM")</f>
        <v>-</v>
      </c>
      <c r="C17" s="68" t="n">
        <v>0</v>
      </c>
      <c r="D17" s="68" t="n">
        <f aca="false">+C17+D16</f>
        <v>7687.51</v>
      </c>
    </row>
    <row r="18" customFormat="false" ht="15" hidden="false" customHeight="false" outlineLevel="0" collapsed="false">
      <c r="A18" s="85" t="s">
        <v>137</v>
      </c>
      <c r="B18" s="75" t="str">
        <f aca="false">+TEXT(A18,"MMMM")</f>
        <v>-</v>
      </c>
      <c r="C18" s="68" t="n">
        <v>0</v>
      </c>
      <c r="D18" s="68" t="n">
        <f aca="false">+C18+D17</f>
        <v>7687.51</v>
      </c>
    </row>
    <row r="19" customFormat="false" ht="15" hidden="false" customHeight="false" outlineLevel="0" collapsed="false">
      <c r="A19" s="85" t="s">
        <v>137</v>
      </c>
      <c r="B19" s="75" t="str">
        <f aca="false">+TEXT(A19,"MMMM")</f>
        <v>-</v>
      </c>
      <c r="C19" s="68" t="n">
        <v>0</v>
      </c>
      <c r="D19" s="68" t="n">
        <f aca="false">+C19+D18</f>
        <v>7687.51</v>
      </c>
    </row>
    <row r="20" customFormat="false" ht="15" hidden="false" customHeight="false" outlineLevel="0" collapsed="false">
      <c r="A20" s="85" t="s">
        <v>137</v>
      </c>
      <c r="B20" s="75" t="str">
        <f aca="false">+TEXT(A20,"MMMM")</f>
        <v>-</v>
      </c>
      <c r="C20" s="68" t="n">
        <v>0</v>
      </c>
      <c r="D20" s="68" t="n">
        <f aca="false">+C20+D19</f>
        <v>7687.51</v>
      </c>
    </row>
    <row r="21" customFormat="false" ht="15" hidden="false" customHeight="false" outlineLevel="0" collapsed="false">
      <c r="A21" s="85" t="s">
        <v>137</v>
      </c>
      <c r="B21" s="75" t="str">
        <f aca="false">+TEXT(A21,"MMMM")</f>
        <v>-</v>
      </c>
      <c r="C21" s="68" t="n">
        <v>0</v>
      </c>
      <c r="D21" s="68" t="n">
        <f aca="false">+C21+D20</f>
        <v>7687.51</v>
      </c>
    </row>
    <row r="22" customFormat="false" ht="15" hidden="false" customHeight="false" outlineLevel="0" collapsed="false">
      <c r="A22" s="85" t="s">
        <v>137</v>
      </c>
      <c r="B22" s="75" t="str">
        <f aca="false">+TEXT(A22,"MMMM")</f>
        <v>-</v>
      </c>
      <c r="C22" s="68" t="n">
        <v>0</v>
      </c>
      <c r="D22" s="68" t="n">
        <f aca="false">+C22+D21</f>
        <v>7687.51</v>
      </c>
    </row>
    <row r="23" customFormat="false" ht="15" hidden="false" customHeight="false" outlineLevel="0" collapsed="false">
      <c r="A23" s="85" t="s">
        <v>137</v>
      </c>
      <c r="B23" s="75" t="str">
        <f aca="false">+TEXT(A23,"MMMM")</f>
        <v>-</v>
      </c>
      <c r="C23" s="68" t="n">
        <v>0</v>
      </c>
      <c r="D23" s="68" t="n">
        <f aca="false">+C23+D22</f>
        <v>7687.51</v>
      </c>
    </row>
    <row r="24" customFormat="false" ht="15" hidden="false" customHeight="false" outlineLevel="0" collapsed="false">
      <c r="A24" s="85" t="s">
        <v>137</v>
      </c>
      <c r="B24" s="75" t="str">
        <f aca="false">+TEXT(A24,"MMMM")</f>
        <v>-</v>
      </c>
      <c r="C24" s="68" t="n">
        <v>0</v>
      </c>
      <c r="D24" s="68" t="n">
        <f aca="false">+C24+D23</f>
        <v>7687.51</v>
      </c>
    </row>
    <row r="25" customFormat="false" ht="15" hidden="false" customHeight="false" outlineLevel="0" collapsed="false">
      <c r="A25" s="85" t="s">
        <v>137</v>
      </c>
      <c r="B25" s="75" t="str">
        <f aca="false">+TEXT(A25,"MMMM")</f>
        <v>-</v>
      </c>
      <c r="C25" s="68" t="n">
        <v>0</v>
      </c>
      <c r="D25" s="68" t="n">
        <f aca="false">+C25+D24</f>
        <v>7687.51</v>
      </c>
    </row>
    <row r="26" customFormat="false" ht="15" hidden="false" customHeight="false" outlineLevel="0" collapsed="false">
      <c r="A26" s="85" t="s">
        <v>137</v>
      </c>
      <c r="B26" s="75" t="str">
        <f aca="false">+TEXT(A26,"MMMM")</f>
        <v>-</v>
      </c>
      <c r="C26" s="68" t="n">
        <v>0</v>
      </c>
      <c r="D26" s="68" t="n">
        <f aca="false">+C26+D25</f>
        <v>7687.51</v>
      </c>
    </row>
    <row r="27" customFormat="false" ht="15" hidden="false" customHeight="false" outlineLevel="0" collapsed="false">
      <c r="A27" s="85" t="s">
        <v>137</v>
      </c>
      <c r="B27" s="75" t="str">
        <f aca="false">+TEXT(A27,"MMMM")</f>
        <v>-</v>
      </c>
      <c r="C27" s="68" t="n">
        <v>0</v>
      </c>
      <c r="D27" s="68" t="n">
        <f aca="false">+C27+D26</f>
        <v>7687.51</v>
      </c>
    </row>
    <row r="28" customFormat="false" ht="15" hidden="false" customHeight="false" outlineLevel="0" collapsed="false">
      <c r="A28" s="85" t="s">
        <v>137</v>
      </c>
      <c r="B28" s="75" t="str">
        <f aca="false">+TEXT(A28,"MMMM")</f>
        <v>-</v>
      </c>
      <c r="C28" s="68" t="n">
        <v>0</v>
      </c>
      <c r="D28" s="68" t="n">
        <f aca="false">+C28+D27</f>
        <v>7687.51</v>
      </c>
    </row>
    <row r="29" customFormat="false" ht="15" hidden="false" customHeight="false" outlineLevel="0" collapsed="false">
      <c r="A29" s="85" t="s">
        <v>137</v>
      </c>
      <c r="B29" s="75" t="str">
        <f aca="false">+TEXT(A29,"MMMM")</f>
        <v>-</v>
      </c>
      <c r="C29" s="68" t="n">
        <v>0</v>
      </c>
      <c r="D29" s="68" t="n">
        <f aca="false">+C29+D28</f>
        <v>7687.51</v>
      </c>
    </row>
    <row r="30" customFormat="false" ht="15" hidden="false" customHeight="false" outlineLevel="0" collapsed="false">
      <c r="A30" s="85" t="s">
        <v>137</v>
      </c>
      <c r="B30" s="75" t="str">
        <f aca="false">+TEXT(A30,"MMMM")</f>
        <v>-</v>
      </c>
      <c r="C30" s="68" t="n">
        <v>0</v>
      </c>
      <c r="D30" s="68" t="n">
        <f aca="false">+C30+D29</f>
        <v>7687.51</v>
      </c>
    </row>
    <row r="31" customFormat="false" ht="15" hidden="false" customHeight="false" outlineLevel="0" collapsed="false">
      <c r="A31" s="85" t="s">
        <v>137</v>
      </c>
      <c r="B31" s="75" t="str">
        <f aca="false">+TEXT(A31,"MMMM")</f>
        <v>-</v>
      </c>
      <c r="C31" s="68" t="n">
        <v>0</v>
      </c>
      <c r="D31" s="68" t="n">
        <f aca="false">+C31+D30</f>
        <v>7687.51</v>
      </c>
    </row>
    <row r="32" customFormat="false" ht="15" hidden="false" customHeight="false" outlineLevel="0" collapsed="false">
      <c r="A32" s="85" t="s">
        <v>137</v>
      </c>
      <c r="B32" s="75" t="str">
        <f aca="false">+TEXT(A32,"MMMM")</f>
        <v>-</v>
      </c>
      <c r="C32" s="68" t="n">
        <v>0</v>
      </c>
      <c r="D32" s="68" t="n">
        <f aca="false">+C32+D31</f>
        <v>7687.51</v>
      </c>
    </row>
    <row r="33" customFormat="false" ht="15" hidden="false" customHeight="false" outlineLevel="0" collapsed="false">
      <c r="A33" s="85" t="s">
        <v>137</v>
      </c>
      <c r="B33" s="75" t="str">
        <f aca="false">+TEXT(A33,"MMMM")</f>
        <v>-</v>
      </c>
      <c r="C33" s="68" t="n">
        <v>0</v>
      </c>
      <c r="D33" s="68" t="n">
        <f aca="false">+C33+D32</f>
        <v>7687.51</v>
      </c>
    </row>
    <row r="34" customFormat="false" ht="15" hidden="false" customHeight="false" outlineLevel="0" collapsed="false">
      <c r="A34" s="85" t="s">
        <v>137</v>
      </c>
      <c r="B34" s="75" t="str">
        <f aca="false">+TEXT(A34,"MMMM")</f>
        <v>-</v>
      </c>
      <c r="C34" s="68" t="n">
        <v>0</v>
      </c>
      <c r="D34" s="68" t="n">
        <f aca="false">+C34+D33</f>
        <v>7687.51</v>
      </c>
    </row>
    <row r="35" customFormat="false" ht="15" hidden="false" customHeight="false" outlineLevel="0" collapsed="false">
      <c r="A35" s="85" t="s">
        <v>137</v>
      </c>
      <c r="B35" s="75" t="str">
        <f aca="false">+TEXT(A35,"MMMM")</f>
        <v>-</v>
      </c>
      <c r="C35" s="68" t="n">
        <v>0</v>
      </c>
      <c r="D35" s="68" t="n">
        <f aca="false">+C35+D34</f>
        <v>7687.51</v>
      </c>
    </row>
    <row r="36" customFormat="false" ht="15" hidden="false" customHeight="false" outlineLevel="0" collapsed="false">
      <c r="A36" s="85" t="s">
        <v>137</v>
      </c>
      <c r="B36" s="75" t="str">
        <f aca="false">+TEXT(A36,"MMMM")</f>
        <v>-</v>
      </c>
      <c r="C36" s="68" t="n">
        <v>0</v>
      </c>
      <c r="D36" s="68" t="n">
        <f aca="false">+C36+D35</f>
        <v>7687.51</v>
      </c>
    </row>
    <row r="37" customFormat="false" ht="15" hidden="false" customHeight="false" outlineLevel="0" collapsed="false">
      <c r="A37" s="85" t="s">
        <v>137</v>
      </c>
      <c r="B37" s="75" t="str">
        <f aca="false">+TEXT(A37,"MMMM")</f>
        <v>-</v>
      </c>
      <c r="C37" s="68" t="n">
        <v>0</v>
      </c>
      <c r="D37" s="68" t="n">
        <f aca="false">+C37+D36</f>
        <v>7687.51</v>
      </c>
    </row>
    <row r="38" customFormat="false" ht="15" hidden="false" customHeight="false" outlineLevel="0" collapsed="false">
      <c r="A38" s="85" t="s">
        <v>137</v>
      </c>
      <c r="B38" s="75" t="str">
        <f aca="false">+TEXT(A38,"MMMM")</f>
        <v>-</v>
      </c>
      <c r="C38" s="68" t="n">
        <v>0</v>
      </c>
      <c r="D38" s="68" t="n">
        <f aca="false">+C38+D37</f>
        <v>7687.51</v>
      </c>
    </row>
    <row r="39" customFormat="false" ht="15" hidden="false" customHeight="false" outlineLevel="0" collapsed="false">
      <c r="A39" s="85" t="s">
        <v>137</v>
      </c>
      <c r="B39" s="75" t="str">
        <f aca="false">+TEXT(A39,"MMMM")</f>
        <v>-</v>
      </c>
      <c r="C39" s="68" t="n">
        <v>0</v>
      </c>
      <c r="D39" s="68" t="n">
        <f aca="false">+C39+D38</f>
        <v>7687.51</v>
      </c>
    </row>
    <row r="40" customFormat="false" ht="15" hidden="false" customHeight="false" outlineLevel="0" collapsed="false">
      <c r="A40" s="85" t="s">
        <v>137</v>
      </c>
      <c r="B40" s="75" t="str">
        <f aca="false">+TEXT(A40,"MMMM")</f>
        <v>-</v>
      </c>
      <c r="C40" s="68" t="n">
        <v>0</v>
      </c>
      <c r="D40" s="68" t="n">
        <f aca="false">+C40+D39</f>
        <v>7687.51</v>
      </c>
    </row>
    <row r="41" customFormat="false" ht="15" hidden="false" customHeight="false" outlineLevel="0" collapsed="false">
      <c r="A41" s="85" t="s">
        <v>137</v>
      </c>
      <c r="B41" s="75" t="str">
        <f aca="false">+TEXT(A41,"MMMM")</f>
        <v>-</v>
      </c>
      <c r="C41" s="68" t="n">
        <v>0</v>
      </c>
      <c r="D41" s="68" t="n">
        <f aca="false">+C41+D40</f>
        <v>7687.51</v>
      </c>
    </row>
    <row r="42" customFormat="false" ht="15" hidden="false" customHeight="false" outlineLevel="0" collapsed="false">
      <c r="A42" s="85" t="s">
        <v>137</v>
      </c>
      <c r="B42" s="75" t="str">
        <f aca="false">+TEXT(A42,"MMMM")</f>
        <v>-</v>
      </c>
      <c r="C42" s="68" t="n">
        <v>0</v>
      </c>
      <c r="D42" s="68" t="n">
        <f aca="false">+C42+D41</f>
        <v>7687.51</v>
      </c>
    </row>
    <row r="43" customFormat="false" ht="15" hidden="false" customHeight="false" outlineLevel="0" collapsed="false">
      <c r="A43" s="85" t="s">
        <v>137</v>
      </c>
      <c r="B43" s="75" t="str">
        <f aca="false">+TEXT(A43,"MMMM")</f>
        <v>-</v>
      </c>
      <c r="C43" s="68" t="n">
        <v>0</v>
      </c>
      <c r="D43" s="68" t="n">
        <f aca="false">+C43+D42</f>
        <v>7687.51</v>
      </c>
    </row>
    <row r="44" customFormat="false" ht="15" hidden="false" customHeight="false" outlineLevel="0" collapsed="false">
      <c r="A44" s="85" t="s">
        <v>137</v>
      </c>
      <c r="B44" s="75" t="str">
        <f aca="false">+TEXT(A44,"MMMM")</f>
        <v>-</v>
      </c>
      <c r="C44" s="68" t="n">
        <v>0</v>
      </c>
      <c r="D44" s="68" t="n">
        <f aca="false">+C44+D43</f>
        <v>7687.51</v>
      </c>
    </row>
    <row r="45" customFormat="false" ht="15" hidden="false" customHeight="false" outlineLevel="0" collapsed="false">
      <c r="A45" s="85" t="s">
        <v>137</v>
      </c>
      <c r="B45" s="75" t="str">
        <f aca="false">+TEXT(A45,"MMMM")</f>
        <v>-</v>
      </c>
      <c r="C45" s="68" t="n">
        <v>0</v>
      </c>
      <c r="D45" s="68" t="n">
        <f aca="false">+C45+D44</f>
        <v>7687.51</v>
      </c>
    </row>
    <row r="46" customFormat="false" ht="15" hidden="false" customHeight="false" outlineLevel="0" collapsed="false">
      <c r="A46" s="85" t="s">
        <v>137</v>
      </c>
      <c r="B46" s="75" t="str">
        <f aca="false">+TEXT(A46,"MMMM")</f>
        <v>-</v>
      </c>
      <c r="C46" s="68" t="n">
        <v>0</v>
      </c>
      <c r="D46" s="68" t="n">
        <f aca="false">+C46+D45</f>
        <v>7687.51</v>
      </c>
    </row>
    <row r="47" customFormat="false" ht="15" hidden="false" customHeight="false" outlineLevel="0" collapsed="false">
      <c r="A47" s="85" t="s">
        <v>137</v>
      </c>
      <c r="B47" s="75" t="str">
        <f aca="false">+TEXT(A47,"MMMM")</f>
        <v>-</v>
      </c>
      <c r="C47" s="68" t="n">
        <v>0</v>
      </c>
      <c r="D47" s="68" t="n">
        <f aca="false">+C47+D46</f>
        <v>7687.51</v>
      </c>
    </row>
    <row r="48" customFormat="false" ht="15" hidden="false" customHeight="false" outlineLevel="0" collapsed="false">
      <c r="A48" s="85" t="s">
        <v>137</v>
      </c>
      <c r="B48" s="75" t="str">
        <f aca="false">+TEXT(A48,"MMMM")</f>
        <v>-</v>
      </c>
      <c r="C48" s="68" t="n">
        <v>0</v>
      </c>
      <c r="D48" s="68" t="n">
        <f aca="false">+C48+D47</f>
        <v>7687.51</v>
      </c>
    </row>
    <row r="49" customFormat="false" ht="15" hidden="false" customHeight="false" outlineLevel="0" collapsed="false">
      <c r="A49" s="85" t="s">
        <v>137</v>
      </c>
      <c r="B49" s="75" t="str">
        <f aca="false">+TEXT(A49,"MMMM")</f>
        <v>-</v>
      </c>
      <c r="C49" s="68" t="n">
        <v>0</v>
      </c>
      <c r="D49" s="68" t="n">
        <f aca="false">+C49+D48</f>
        <v>7687.51</v>
      </c>
    </row>
    <row r="50" customFormat="false" ht="15" hidden="false" customHeight="false" outlineLevel="0" collapsed="false">
      <c r="A50" s="85" t="s">
        <v>137</v>
      </c>
      <c r="B50" s="75" t="str">
        <f aca="false">+TEXT(A50,"MMMM")</f>
        <v>-</v>
      </c>
      <c r="C50" s="68" t="n">
        <v>0</v>
      </c>
      <c r="D50" s="68" t="n">
        <f aca="false">+C50+D49</f>
        <v>7687.51</v>
      </c>
    </row>
    <row r="51" customFormat="false" ht="15" hidden="false" customHeight="false" outlineLevel="0" collapsed="false">
      <c r="A51" s="85" t="s">
        <v>137</v>
      </c>
      <c r="B51" s="75" t="str">
        <f aca="false">+TEXT(A51,"MMMM")</f>
        <v>-</v>
      </c>
      <c r="C51" s="68" t="n">
        <v>0</v>
      </c>
      <c r="D51" s="68" t="n">
        <f aca="false">+C51+D50</f>
        <v>7687.51</v>
      </c>
    </row>
    <row r="52" customFormat="false" ht="15" hidden="false" customHeight="false" outlineLevel="0" collapsed="false">
      <c r="A52" s="85" t="s">
        <v>137</v>
      </c>
      <c r="B52" s="75" t="str">
        <f aca="false">+TEXT(A52,"MMMM")</f>
        <v>-</v>
      </c>
      <c r="C52" s="68" t="n">
        <v>0</v>
      </c>
      <c r="D52" s="68" t="n">
        <f aca="false">+C52+D51</f>
        <v>7687.51</v>
      </c>
    </row>
    <row r="53" customFormat="false" ht="15" hidden="false" customHeight="false" outlineLevel="0" collapsed="false">
      <c r="A53" s="85" t="s">
        <v>137</v>
      </c>
      <c r="B53" s="75" t="str">
        <f aca="false">+TEXT(A53,"MMMM")</f>
        <v>-</v>
      </c>
      <c r="C53" s="68" t="n">
        <v>0</v>
      </c>
      <c r="D53" s="68" t="n">
        <f aca="false">+C53+D52</f>
        <v>7687.51</v>
      </c>
    </row>
    <row r="54" customFormat="false" ht="15" hidden="false" customHeight="false" outlineLevel="0" collapsed="false">
      <c r="A54" s="85" t="s">
        <v>137</v>
      </c>
      <c r="B54" s="75" t="str">
        <f aca="false">+TEXT(A54,"MMMM")</f>
        <v>-</v>
      </c>
      <c r="C54" s="68" t="n">
        <v>0</v>
      </c>
      <c r="D54" s="68" t="n">
        <f aca="false">+C54+D53</f>
        <v>7687.51</v>
      </c>
    </row>
    <row r="55" customFormat="false" ht="15" hidden="false" customHeight="false" outlineLevel="0" collapsed="false">
      <c r="A55" s="85" t="s">
        <v>137</v>
      </c>
      <c r="B55" s="75" t="str">
        <f aca="false">+TEXT(A55,"MMMM")</f>
        <v>-</v>
      </c>
      <c r="C55" s="68" t="n">
        <v>0</v>
      </c>
      <c r="D55" s="68" t="n">
        <f aca="false">+C55+D54</f>
        <v>7687.51</v>
      </c>
    </row>
    <row r="56" customFormat="false" ht="15" hidden="false" customHeight="false" outlineLevel="0" collapsed="false">
      <c r="A56" s="85" t="s">
        <v>137</v>
      </c>
      <c r="B56" s="75" t="str">
        <f aca="false">+TEXT(A56,"MMMM")</f>
        <v>-</v>
      </c>
      <c r="C56" s="68" t="n">
        <v>0</v>
      </c>
      <c r="D56" s="68" t="n">
        <f aca="false">+C56+D55</f>
        <v>7687.51</v>
      </c>
    </row>
    <row r="57" customFormat="false" ht="15" hidden="false" customHeight="false" outlineLevel="0" collapsed="false">
      <c r="A57" s="85" t="s">
        <v>137</v>
      </c>
      <c r="B57" s="75" t="str">
        <f aca="false">+TEXT(A57,"MMMM")</f>
        <v>-</v>
      </c>
      <c r="C57" s="68" t="n">
        <v>0</v>
      </c>
      <c r="D57" s="68" t="n">
        <f aca="false">+C57+D56</f>
        <v>7687.51</v>
      </c>
    </row>
    <row r="58" customFormat="false" ht="15" hidden="false" customHeight="false" outlineLevel="0" collapsed="false">
      <c r="A58" s="85" t="s">
        <v>137</v>
      </c>
      <c r="B58" s="75" t="str">
        <f aca="false">+TEXT(A58,"MMMM")</f>
        <v>-</v>
      </c>
      <c r="C58" s="68" t="n">
        <v>0</v>
      </c>
      <c r="D58" s="68" t="n">
        <f aca="false">+C58+D57</f>
        <v>7687.51</v>
      </c>
    </row>
    <row r="59" customFormat="false" ht="15" hidden="false" customHeight="false" outlineLevel="0" collapsed="false">
      <c r="A59" s="85" t="s">
        <v>137</v>
      </c>
      <c r="B59" s="75" t="str">
        <f aca="false">+TEXT(A59,"MMMM")</f>
        <v>-</v>
      </c>
      <c r="C59" s="68" t="n">
        <v>0</v>
      </c>
      <c r="D59" s="68" t="n">
        <f aca="false">+C59+D58</f>
        <v>7687.51</v>
      </c>
    </row>
    <row r="60" customFormat="false" ht="15" hidden="false" customHeight="false" outlineLevel="0" collapsed="false">
      <c r="A60" s="85" t="s">
        <v>137</v>
      </c>
      <c r="B60" s="75" t="str">
        <f aca="false">+TEXT(A60,"MMMM")</f>
        <v>-</v>
      </c>
      <c r="C60" s="68" t="n">
        <v>0</v>
      </c>
      <c r="D60" s="68" t="n">
        <f aca="false">+C60+D59</f>
        <v>7687.51</v>
      </c>
    </row>
    <row r="61" customFormat="false" ht="15" hidden="false" customHeight="false" outlineLevel="0" collapsed="false">
      <c r="A61" s="85" t="s">
        <v>137</v>
      </c>
      <c r="B61" s="75" t="str">
        <f aca="false">+TEXT(A61,"MMMM")</f>
        <v>-</v>
      </c>
      <c r="C61" s="68" t="n">
        <v>0</v>
      </c>
      <c r="D61" s="68" t="n">
        <f aca="false">+C61+D60</f>
        <v>7687.51</v>
      </c>
    </row>
    <row r="62" customFormat="false" ht="15" hidden="false" customHeight="false" outlineLevel="0" collapsed="false">
      <c r="A62" s="85" t="s">
        <v>137</v>
      </c>
      <c r="B62" s="75" t="str">
        <f aca="false">+TEXT(A62,"MMMM")</f>
        <v>-</v>
      </c>
      <c r="C62" s="68" t="n">
        <v>0</v>
      </c>
      <c r="D62" s="68" t="n">
        <f aca="false">+C62+D61</f>
        <v>7687.51</v>
      </c>
    </row>
    <row r="63" customFormat="false" ht="15" hidden="false" customHeight="false" outlineLevel="0" collapsed="false">
      <c r="A63" s="85" t="s">
        <v>137</v>
      </c>
      <c r="B63" s="75" t="str">
        <f aca="false">+TEXT(A63,"MMMM")</f>
        <v>-</v>
      </c>
      <c r="C63" s="68" t="n">
        <v>0</v>
      </c>
      <c r="D63" s="68" t="n">
        <f aca="false">+C63+D62</f>
        <v>7687.51</v>
      </c>
    </row>
    <row r="64" customFormat="false" ht="15" hidden="false" customHeight="false" outlineLevel="0" collapsed="false">
      <c r="A64" s="85" t="s">
        <v>137</v>
      </c>
      <c r="B64" s="75" t="str">
        <f aca="false">+TEXT(A64,"MMMM")</f>
        <v>-</v>
      </c>
      <c r="C64" s="68" t="n">
        <v>0</v>
      </c>
      <c r="D64" s="68" t="n">
        <f aca="false">+C64+D63</f>
        <v>7687.51</v>
      </c>
    </row>
    <row r="65" customFormat="false" ht="15" hidden="false" customHeight="false" outlineLevel="0" collapsed="false">
      <c r="A65" s="85" t="s">
        <v>137</v>
      </c>
      <c r="B65" s="75" t="str">
        <f aca="false">+TEXT(A65,"MMMM")</f>
        <v>-</v>
      </c>
      <c r="C65" s="68" t="n">
        <v>0</v>
      </c>
      <c r="D65" s="68" t="n">
        <f aca="false">+C65+D64</f>
        <v>7687.51</v>
      </c>
    </row>
    <row r="66" customFormat="false" ht="15" hidden="false" customHeight="false" outlineLevel="0" collapsed="false">
      <c r="D66" s="6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3" colorId="64" zoomScale="80" zoomScaleNormal="80" zoomScalePageLayoutView="100" workbookViewId="0">
      <selection pane="topLeft" activeCell="D12" activeCellId="0" sqref="D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1.43"/>
    <col collapsed="false" customWidth="true" hidden="false" outlineLevel="0" max="3" min="3" style="0" width="12.85"/>
    <col collapsed="false" customWidth="true" hidden="false" outlineLevel="0" max="4" min="4" style="0" width="19.85"/>
    <col collapsed="false" customWidth="true" hidden="false" outlineLevel="0" max="6" min="6" style="0" width="22"/>
    <col collapsed="false" customWidth="true" hidden="false" outlineLevel="0" max="7" min="7" style="0" width="11.57"/>
  </cols>
  <sheetData>
    <row r="1" customFormat="false" ht="21" hidden="false" customHeight="false" outlineLevel="0" collapsed="false">
      <c r="A1" s="86" t="s">
        <v>34</v>
      </c>
      <c r="B1" s="70" t="s">
        <v>35</v>
      </c>
      <c r="C1" s="72" t="s">
        <v>38</v>
      </c>
      <c r="D1" s="72" t="s">
        <v>39</v>
      </c>
      <c r="E1" s="79"/>
      <c r="F1" s="72" t="s">
        <v>130</v>
      </c>
      <c r="G1" s="79" t="n">
        <v>30000</v>
      </c>
    </row>
    <row r="2" customFormat="false" ht="15" hidden="false" customHeight="false" outlineLevel="0" collapsed="false">
      <c r="A2" s="94" t="n">
        <v>44377</v>
      </c>
      <c r="B2" s="95" t="str">
        <f aca="false">+TEXT(A2,"MMMM")</f>
        <v>junio</v>
      </c>
      <c r="C2" s="96" t="n">
        <v>800</v>
      </c>
      <c r="D2" s="97" t="n">
        <f aca="false">+G1-C2</f>
        <v>29200</v>
      </c>
    </row>
    <row r="3" customFormat="false" ht="15" hidden="false" customHeight="false" outlineLevel="0" collapsed="false">
      <c r="A3" s="98" t="n">
        <v>44408</v>
      </c>
      <c r="B3" s="99" t="str">
        <f aca="false">+TEXT(A3,"MMMM")</f>
        <v>julio</v>
      </c>
      <c r="C3" s="100" t="n">
        <v>3000</v>
      </c>
      <c r="D3" s="101" t="n">
        <f aca="false">+D2-C3</f>
        <v>26200</v>
      </c>
    </row>
    <row r="4" customFormat="false" ht="15" hidden="false" customHeight="false" outlineLevel="0" collapsed="false">
      <c r="A4" s="98" t="n">
        <v>44439</v>
      </c>
      <c r="B4" s="99" t="str">
        <f aca="false">+TEXT(A4,"MMMM")</f>
        <v>agosto</v>
      </c>
      <c r="C4" s="100" t="n">
        <v>800</v>
      </c>
      <c r="D4" s="101" t="n">
        <f aca="false">+D3-C4</f>
        <v>25400</v>
      </c>
    </row>
    <row r="5" customFormat="false" ht="15" hidden="false" customHeight="false" outlineLevel="0" collapsed="false">
      <c r="A5" s="98" t="n">
        <v>44469</v>
      </c>
      <c r="B5" s="99" t="str">
        <f aca="false">+TEXT(A5,"MMMM")</f>
        <v>septiembre</v>
      </c>
      <c r="C5" s="100" t="n">
        <v>800</v>
      </c>
      <c r="D5" s="101" t="n">
        <f aca="false">+D4-C5</f>
        <v>24600</v>
      </c>
    </row>
    <row r="6" customFormat="false" ht="15" hidden="false" customHeight="false" outlineLevel="0" collapsed="false">
      <c r="A6" s="98" t="n">
        <v>44500</v>
      </c>
      <c r="B6" s="99" t="str">
        <f aca="false">+TEXT(A6,"MMMM")</f>
        <v>octubre</v>
      </c>
      <c r="C6" s="100" t="n">
        <v>800</v>
      </c>
      <c r="D6" s="101" t="n">
        <f aca="false">+D5-C6</f>
        <v>23800</v>
      </c>
    </row>
    <row r="7" customFormat="false" ht="15" hidden="false" customHeight="false" outlineLevel="0" collapsed="false">
      <c r="A7" s="98" t="n">
        <v>44530</v>
      </c>
      <c r="B7" s="99" t="str">
        <f aca="false">+TEXT(A7,"MMMM")</f>
        <v>noviembre</v>
      </c>
      <c r="C7" s="100" t="n">
        <v>800</v>
      </c>
      <c r="D7" s="101" t="n">
        <f aca="false">+D6-C7</f>
        <v>23000</v>
      </c>
    </row>
    <row r="8" customFormat="false" ht="15" hidden="false" customHeight="false" outlineLevel="0" collapsed="false">
      <c r="A8" s="98" t="n">
        <v>44561</v>
      </c>
      <c r="B8" s="99" t="str">
        <f aca="false">+TEXT(A8,"MMMM")</f>
        <v>diciembre</v>
      </c>
      <c r="C8" s="100" t="n">
        <v>800</v>
      </c>
      <c r="D8" s="101" t="n">
        <f aca="false">+D7-C8</f>
        <v>22200</v>
      </c>
    </row>
    <row r="9" customFormat="false" ht="15" hidden="false" customHeight="false" outlineLevel="0" collapsed="false">
      <c r="A9" s="98" t="n">
        <v>44592</v>
      </c>
      <c r="B9" s="99" t="str">
        <f aca="false">+TEXT(A9,"MMMM")</f>
        <v>enero</v>
      </c>
      <c r="C9" s="100" t="n">
        <v>2000</v>
      </c>
      <c r="D9" s="101" t="n">
        <f aca="false">+D8-C9</f>
        <v>20200</v>
      </c>
    </row>
    <row r="10" customFormat="false" ht="15" hidden="false" customHeight="false" outlineLevel="0" collapsed="false">
      <c r="A10" s="98" t="n">
        <v>44620</v>
      </c>
      <c r="B10" s="99" t="str">
        <f aca="false">+TEXT(A10,"MMMM")</f>
        <v>febrero</v>
      </c>
      <c r="C10" s="100" t="n">
        <v>800</v>
      </c>
      <c r="D10" s="101" t="n">
        <f aca="false">+D9-C10</f>
        <v>19400</v>
      </c>
    </row>
    <row r="11" customFormat="false" ht="15" hidden="false" customHeight="false" outlineLevel="0" collapsed="false">
      <c r="A11" s="98" t="n">
        <v>44651</v>
      </c>
      <c r="B11" s="99" t="str">
        <f aca="false">+TEXT(A11,"MMMM")</f>
        <v>marzo</v>
      </c>
      <c r="C11" s="100" t="n">
        <v>800</v>
      </c>
      <c r="D11" s="101" t="n">
        <f aca="false">+D10-C11</f>
        <v>18600</v>
      </c>
    </row>
    <row r="12" customFormat="false" ht="15" hidden="false" customHeight="false" outlineLevel="0" collapsed="false">
      <c r="A12" s="98" t="n">
        <v>44681</v>
      </c>
      <c r="B12" s="99" t="str">
        <f aca="false">+TEXT(A12,"MMMM")</f>
        <v>abril</v>
      </c>
      <c r="C12" s="100" t="n">
        <v>800</v>
      </c>
      <c r="D12" s="101" t="n">
        <f aca="false">+D11-C12</f>
        <v>17800</v>
      </c>
    </row>
    <row r="13" customFormat="false" ht="15" hidden="false" customHeight="false" outlineLevel="0" collapsed="false">
      <c r="A13" s="98" t="n">
        <v>44712</v>
      </c>
      <c r="B13" s="99" t="str">
        <f aca="false">+TEXT(A13,"MMMM")</f>
        <v>mayo</v>
      </c>
      <c r="C13" s="100" t="n">
        <v>800</v>
      </c>
      <c r="D13" s="101" t="n">
        <f aca="false">+D12-C13</f>
        <v>17000</v>
      </c>
    </row>
    <row r="14" customFormat="false" ht="15" hidden="false" customHeight="false" outlineLevel="0" collapsed="false">
      <c r="A14" s="98" t="n">
        <v>44742</v>
      </c>
      <c r="B14" s="99" t="str">
        <f aca="false">+TEXT(A14,"MMMM")</f>
        <v>junio</v>
      </c>
      <c r="C14" s="100" t="n">
        <v>800</v>
      </c>
      <c r="D14" s="101" t="n">
        <f aca="false">+D13-C14</f>
        <v>16200</v>
      </c>
    </row>
    <row r="15" customFormat="false" ht="15" hidden="false" customHeight="false" outlineLevel="0" collapsed="false">
      <c r="A15" s="94" t="n">
        <v>44773</v>
      </c>
      <c r="B15" s="95" t="str">
        <f aca="false">+TEXT(A15,"MMMM")</f>
        <v>julio</v>
      </c>
      <c r="C15" s="96" t="n">
        <v>3000</v>
      </c>
      <c r="D15" s="97" t="n">
        <f aca="false">+D14-C15</f>
        <v>13200</v>
      </c>
    </row>
    <row r="16" customFormat="false" ht="15" hidden="false" customHeight="false" outlineLevel="0" collapsed="false">
      <c r="A16" s="98" t="n">
        <v>44804</v>
      </c>
      <c r="B16" s="99" t="str">
        <f aca="false">+TEXT(A16,"MMMM")</f>
        <v>agosto</v>
      </c>
      <c r="C16" s="100" t="n">
        <v>800</v>
      </c>
      <c r="D16" s="101" t="n">
        <f aca="false">+D15-C16</f>
        <v>12400</v>
      </c>
    </row>
    <row r="17" customFormat="false" ht="15" hidden="false" customHeight="false" outlineLevel="0" collapsed="false">
      <c r="A17" s="98" t="n">
        <v>44834</v>
      </c>
      <c r="B17" s="99" t="str">
        <f aca="false">+TEXT(A17,"MMMM")</f>
        <v>septiembre</v>
      </c>
      <c r="C17" s="100" t="n">
        <v>800</v>
      </c>
      <c r="D17" s="101" t="n">
        <f aca="false">+D16-C17</f>
        <v>11600</v>
      </c>
    </row>
    <row r="18" customFormat="false" ht="15" hidden="false" customHeight="false" outlineLevel="0" collapsed="false">
      <c r="A18" s="98" t="n">
        <v>44865</v>
      </c>
      <c r="B18" s="99" t="str">
        <f aca="false">+TEXT(A18,"MMMM")</f>
        <v>octubre</v>
      </c>
      <c r="C18" s="100" t="n">
        <v>800</v>
      </c>
      <c r="D18" s="101" t="n">
        <f aca="false">+D17-C18</f>
        <v>10800</v>
      </c>
    </row>
    <row r="19" customFormat="false" ht="15" hidden="false" customHeight="false" outlineLevel="0" collapsed="false">
      <c r="A19" s="98" t="n">
        <v>44895</v>
      </c>
      <c r="B19" s="99" t="str">
        <f aca="false">+TEXT(A19,"MMMM")</f>
        <v>noviembre</v>
      </c>
      <c r="C19" s="100" t="n">
        <v>800</v>
      </c>
      <c r="D19" s="101" t="n">
        <f aca="false">+D18-C19</f>
        <v>10000</v>
      </c>
    </row>
    <row r="20" customFormat="false" ht="15" hidden="false" customHeight="false" outlineLevel="0" collapsed="false">
      <c r="A20" s="98" t="n">
        <v>44926</v>
      </c>
      <c r="B20" s="99" t="str">
        <f aca="false">+TEXT(A20,"MMMM")</f>
        <v>diciembre</v>
      </c>
      <c r="C20" s="100" t="n">
        <v>800</v>
      </c>
      <c r="D20" s="101" t="n">
        <f aca="false">+D19-C20</f>
        <v>9200</v>
      </c>
    </row>
    <row r="21" customFormat="false" ht="15" hidden="false" customHeight="false" outlineLevel="0" collapsed="false">
      <c r="A21" s="98" t="n">
        <v>44957</v>
      </c>
      <c r="B21" s="99" t="str">
        <f aca="false">+TEXT(A21,"MMMM")</f>
        <v>enero</v>
      </c>
      <c r="C21" s="100" t="n">
        <v>2000</v>
      </c>
      <c r="D21" s="101" t="n">
        <f aca="false">+D20-C21</f>
        <v>7200</v>
      </c>
    </row>
    <row r="22" customFormat="false" ht="15" hidden="false" customHeight="false" outlineLevel="0" collapsed="false">
      <c r="A22" s="98" t="n">
        <v>44985</v>
      </c>
      <c r="B22" s="99" t="str">
        <f aca="false">+TEXT(A22,"MMMM")</f>
        <v>febrero</v>
      </c>
      <c r="C22" s="100" t="n">
        <v>800</v>
      </c>
      <c r="D22" s="101" t="n">
        <f aca="false">+D21-C22</f>
        <v>6400</v>
      </c>
    </row>
    <row r="23" customFormat="false" ht="15" hidden="false" customHeight="false" outlineLevel="0" collapsed="false">
      <c r="A23" s="98" t="n">
        <v>45016</v>
      </c>
      <c r="B23" s="99" t="str">
        <f aca="false">+TEXT(A23,"MMMM")</f>
        <v>marzo</v>
      </c>
      <c r="C23" s="100" t="n">
        <v>800</v>
      </c>
      <c r="D23" s="101" t="n">
        <f aca="false">+D22-C23</f>
        <v>5600</v>
      </c>
    </row>
    <row r="24" customFormat="false" ht="15" hidden="false" customHeight="false" outlineLevel="0" collapsed="false">
      <c r="A24" s="98" t="n">
        <v>45046</v>
      </c>
      <c r="B24" s="99" t="str">
        <f aca="false">+TEXT(A24,"MMMM")</f>
        <v>abril</v>
      </c>
      <c r="C24" s="100" t="n">
        <v>800</v>
      </c>
      <c r="D24" s="101" t="n">
        <f aca="false">+D23-C24</f>
        <v>4800</v>
      </c>
    </row>
    <row r="25" customFormat="false" ht="15" hidden="false" customHeight="false" outlineLevel="0" collapsed="false">
      <c r="A25" s="98" t="n">
        <v>45077</v>
      </c>
      <c r="B25" s="99" t="str">
        <f aca="false">+TEXT(A25,"MMMM")</f>
        <v>mayo</v>
      </c>
      <c r="C25" s="100" t="n">
        <v>800</v>
      </c>
      <c r="D25" s="101" t="n">
        <f aca="false">+D24-C25</f>
        <v>4000</v>
      </c>
    </row>
    <row r="26" customFormat="false" ht="15" hidden="false" customHeight="false" outlineLevel="0" collapsed="false">
      <c r="A26" s="98" t="n">
        <v>45107</v>
      </c>
      <c r="B26" s="99" t="str">
        <f aca="false">+TEXT(A26,"MMMM")</f>
        <v>junio</v>
      </c>
      <c r="C26" s="100" t="n">
        <v>800</v>
      </c>
      <c r="D26" s="101" t="n">
        <f aca="false">+D25-C26</f>
        <v>3200</v>
      </c>
    </row>
    <row r="27" customFormat="false" ht="15" hidden="false" customHeight="false" outlineLevel="0" collapsed="false">
      <c r="A27" s="94" t="n">
        <v>45138</v>
      </c>
      <c r="B27" s="95" t="str">
        <f aca="false">+TEXT(A27,"MMMM")</f>
        <v>julio</v>
      </c>
      <c r="C27" s="96" t="n">
        <v>800</v>
      </c>
      <c r="D27" s="97" t="n">
        <f aca="false">+D26-C27</f>
        <v>2400</v>
      </c>
    </row>
    <row r="28" customFormat="false" ht="15" hidden="false" customHeight="false" outlineLevel="0" collapsed="false">
      <c r="A28" s="98" t="n">
        <v>45169</v>
      </c>
      <c r="B28" s="99" t="str">
        <f aca="false">+TEXT(A28,"MMMM")</f>
        <v>agosto</v>
      </c>
      <c r="C28" s="100" t="n">
        <v>800</v>
      </c>
      <c r="D28" s="101" t="n">
        <f aca="false">+D27-C28</f>
        <v>1600</v>
      </c>
    </row>
    <row r="29" customFormat="false" ht="15" hidden="false" customHeight="false" outlineLevel="0" collapsed="false">
      <c r="A29" s="98" t="n">
        <v>45199</v>
      </c>
      <c r="B29" s="99" t="str">
        <f aca="false">+TEXT(A29,"MMMM")</f>
        <v>septiembre</v>
      </c>
      <c r="C29" s="100" t="n">
        <v>800</v>
      </c>
      <c r="D29" s="101" t="n">
        <f aca="false">+D28-C29</f>
        <v>800</v>
      </c>
    </row>
    <row r="30" customFormat="false" ht="15" hidden="false" customHeight="false" outlineLevel="0" collapsed="false">
      <c r="A30" s="98" t="n">
        <v>45230</v>
      </c>
      <c r="B30" s="99" t="str">
        <f aca="false">+TEXT(A30,"MMMM")</f>
        <v>octubre</v>
      </c>
      <c r="C30" s="100" t="n">
        <v>800</v>
      </c>
      <c r="D30" s="101" t="n">
        <f aca="false">+D29-C30</f>
        <v>0</v>
      </c>
    </row>
    <row r="31" customFormat="false" ht="15" hidden="false" customHeight="false" outlineLevel="0" collapsed="false">
      <c r="A31" s="98" t="n">
        <v>45260</v>
      </c>
      <c r="B31" s="99" t="str">
        <f aca="false">+TEXT(A31,"MMMM")</f>
        <v>noviembre</v>
      </c>
      <c r="C31" s="100" t="n">
        <v>800</v>
      </c>
      <c r="D31" s="101" t="n">
        <f aca="false">+D30-C31</f>
        <v>-800</v>
      </c>
    </row>
    <row r="32" customFormat="false" ht="15" hidden="false" customHeight="false" outlineLevel="0" collapsed="false">
      <c r="A32" s="98" t="n">
        <v>45291</v>
      </c>
      <c r="B32" s="99" t="str">
        <f aca="false">+TEXT(A32,"MMMM")</f>
        <v>diciembre</v>
      </c>
      <c r="C32" s="100" t="n">
        <v>800</v>
      </c>
      <c r="D32" s="101" t="n">
        <f aca="false">+D31-C32</f>
        <v>-1600</v>
      </c>
    </row>
    <row r="33" customFormat="false" ht="15" hidden="false" customHeight="false" outlineLevel="0" collapsed="false">
      <c r="A33" s="98" t="n">
        <v>45322</v>
      </c>
      <c r="B33" s="99" t="str">
        <f aca="false">+TEXT(A33,"MMMM")</f>
        <v>enero</v>
      </c>
      <c r="C33" s="100" t="n">
        <v>800</v>
      </c>
      <c r="D33" s="101" t="n">
        <f aca="false">+D32-C33</f>
        <v>-2400</v>
      </c>
    </row>
    <row r="34" customFormat="false" ht="15" hidden="false" customHeight="false" outlineLevel="0" collapsed="false">
      <c r="A34" s="98" t="n">
        <v>45351</v>
      </c>
      <c r="B34" s="99" t="str">
        <f aca="false">+TEXT(A34,"MMMM")</f>
        <v>febrero</v>
      </c>
      <c r="C34" s="100" t="n">
        <v>800</v>
      </c>
      <c r="D34" s="101" t="n">
        <f aca="false">+D33-C34</f>
        <v>-3200</v>
      </c>
    </row>
    <row r="35" customFormat="false" ht="15" hidden="false" customHeight="false" outlineLevel="0" collapsed="false">
      <c r="A35" s="98" t="n">
        <v>45382</v>
      </c>
      <c r="B35" s="99" t="str">
        <f aca="false">+TEXT(A35,"MMMM")</f>
        <v>marzo</v>
      </c>
      <c r="C35" s="100" t="n">
        <v>800</v>
      </c>
      <c r="D35" s="101" t="n">
        <f aca="false">+D34-C35</f>
        <v>-4000</v>
      </c>
    </row>
    <row r="36" customFormat="false" ht="15" hidden="false" customHeight="false" outlineLevel="0" collapsed="false">
      <c r="A36" s="98" t="n">
        <v>45412</v>
      </c>
      <c r="B36" s="99" t="str">
        <f aca="false">+TEXT(A36,"MMMM")</f>
        <v>abril</v>
      </c>
      <c r="C36" s="100" t="n">
        <v>800</v>
      </c>
      <c r="D36" s="101" t="n">
        <f aca="false">+D35-C36</f>
        <v>-4800</v>
      </c>
    </row>
    <row r="37" customFormat="false" ht="15" hidden="false" customHeight="false" outlineLevel="0" collapsed="false">
      <c r="A37" s="98" t="n">
        <v>45443</v>
      </c>
      <c r="B37" s="99" t="str">
        <f aca="false">+TEXT(A37,"MMMM")</f>
        <v>mayo</v>
      </c>
      <c r="C37" s="100" t="n">
        <v>800</v>
      </c>
      <c r="D37" s="101" t="n">
        <f aca="false">+D36-C37</f>
        <v>-5600</v>
      </c>
    </row>
    <row r="38" customFormat="false" ht="15" hidden="false" customHeight="false" outlineLevel="0" collapsed="false">
      <c r="A38" s="102" t="n">
        <v>45473</v>
      </c>
      <c r="B38" s="103" t="str">
        <f aca="false">+TEXT(A38,"MMMM")</f>
        <v>junio</v>
      </c>
      <c r="C38" s="104" t="n">
        <v>800</v>
      </c>
      <c r="D38" s="105" t="n">
        <f aca="false">+D37-C38</f>
        <v>-6400</v>
      </c>
    </row>
    <row r="39" customFormat="false" ht="15" hidden="false" customHeight="false" outlineLevel="0" collapsed="false">
      <c r="A39" s="85"/>
      <c r="B39" s="75"/>
      <c r="D39" s="5"/>
    </row>
    <row r="40" customFormat="false" ht="15" hidden="false" customHeight="false" outlineLevel="0" collapsed="false">
      <c r="A40" s="85"/>
      <c r="B40" s="75"/>
      <c r="D40" s="5"/>
    </row>
    <row r="41" customFormat="false" ht="15" hidden="false" customHeight="false" outlineLevel="0" collapsed="false">
      <c r="A41" s="85"/>
      <c r="B41" s="75"/>
      <c r="D41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2020-11-03T15:24:29Z</dcterms:created>
  <dc:creator>usuario</dc:creator>
  <dc:description/>
  <dc:language>es-GT</dc:language>
  <cp:lastModifiedBy/>
  <dcterms:modified xsi:type="dcterms:W3CDTF">2021-04-09T20:29:00Z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